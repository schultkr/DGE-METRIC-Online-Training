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ul\Documents\GitHub\DGE-METRIC\ExcelFiles\"/>
    </mc:Choice>
  </mc:AlternateContent>
  <xr:revisionPtr revIDLastSave="0" documentId="13_ncr:1_{15AFAD29-0D68-47DC-A76B-B32F88828CFD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Content" sheetId="2" r:id="rId1"/>
    <sheet name="Baseline" sheetId="1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V27" i="1" l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AY27" i="1"/>
  <c r="AX27" i="1"/>
  <c r="AW27" i="1"/>
  <c r="AV27" i="1"/>
  <c r="AU27" i="1"/>
  <c r="AT27" i="1"/>
  <c r="AS27" i="1"/>
  <c r="AR27" i="1"/>
  <c r="AQ27" i="1"/>
  <c r="AP27" i="1"/>
  <c r="AM27" i="1"/>
  <c r="AL27" i="1"/>
  <c r="AK27" i="1"/>
  <c r="AJ27" i="1"/>
  <c r="AI27" i="1"/>
  <c r="AH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" i="2"/>
</calcChain>
</file>

<file path=xl/sharedStrings.xml><?xml version="1.0" encoding="utf-8"?>
<sst xmlns="http://schemas.openxmlformats.org/spreadsheetml/2006/main" count="84" uniqueCount="84">
  <si>
    <t>Sheets</t>
  </si>
  <si>
    <t>Regions</t>
  </si>
  <si>
    <t>Sectors</t>
  </si>
  <si>
    <t>a sheet for the baseline scenario growth paths</t>
  </si>
  <si>
    <t>VNM</t>
  </si>
  <si>
    <t>Primary</t>
  </si>
  <si>
    <t>Fossil</t>
  </si>
  <si>
    <t>Renewables</t>
  </si>
  <si>
    <t>Secondary</t>
  </si>
  <si>
    <t>Tertiary</t>
  </si>
  <si>
    <t>Time</t>
  </si>
  <si>
    <t>Year</t>
  </si>
  <si>
    <t>exo_LF_1</t>
  </si>
  <si>
    <t>exo_NLF_1</t>
  </si>
  <si>
    <t>gY_1_1</t>
  </si>
  <si>
    <t>gY_2_1</t>
  </si>
  <si>
    <t>gY_3_1</t>
  </si>
  <si>
    <t>gY_4_1</t>
  </si>
  <si>
    <t>gY_5_1</t>
  </si>
  <si>
    <t>gN_1_1</t>
  </si>
  <si>
    <t>gN_2_1</t>
  </si>
  <si>
    <t>gN_3_1</t>
  </si>
  <si>
    <t>gN_4_1</t>
  </si>
  <si>
    <t>gN_5_1</t>
  </si>
  <si>
    <t>idx_LF_1</t>
  </si>
  <si>
    <t>idx_NLF_1</t>
  </si>
  <si>
    <t>exo_E_1_1</t>
  </si>
  <si>
    <t>exo_E_2_1</t>
  </si>
  <si>
    <t>exo_E_3_1</t>
  </si>
  <si>
    <t>exo_E_4_1</t>
  </si>
  <si>
    <t>exo_E_5_1</t>
  </si>
  <si>
    <t>exo_Q_2_1</t>
  </si>
  <si>
    <t>exo_X_2_1</t>
  </si>
  <si>
    <t>exo_K_G_1_1</t>
  </si>
  <si>
    <t>exo_K_G_2_1</t>
  </si>
  <si>
    <t>exo_K_G_3_1</t>
  </si>
  <si>
    <t>exo_K_G_4_1</t>
  </si>
  <si>
    <t>exo_K_G_5_1</t>
  </si>
  <si>
    <t>exo_targetIY_2_1</t>
  </si>
  <si>
    <t>exo_targetIY_3_1</t>
  </si>
  <si>
    <t>exo_ltargetIY_2_1</t>
  </si>
  <si>
    <t>exo_ltargetIY_3_1</t>
  </si>
  <si>
    <t>exo_P_K_1_1</t>
  </si>
  <si>
    <t>exo_P_K_2_1</t>
  </si>
  <si>
    <t>exo_P_K_3_1</t>
  </si>
  <si>
    <t>exo_P_K_4_1</t>
  </si>
  <si>
    <t>exo_P_K_5_1</t>
  </si>
  <si>
    <t>exo_r_G_1_1</t>
  </si>
  <si>
    <t>exo_r_G_2_1</t>
  </si>
  <si>
    <t>exo_r_G_3_1</t>
  </si>
  <si>
    <t>exo_r_G_4_1</t>
  </si>
  <si>
    <t>exo_r_G_5_1</t>
  </si>
  <si>
    <t>exo_PE</t>
  </si>
  <si>
    <t>exo_PE_1</t>
  </si>
  <si>
    <t>exo_AI_1_1_2</t>
  </si>
  <si>
    <t>exo_AI_2_1_2</t>
  </si>
  <si>
    <t>exo_AI_3_1_2</t>
  </si>
  <si>
    <t>exo_AI_4_1_2</t>
  </si>
  <si>
    <t>exo_AI_5_1_2</t>
  </si>
  <si>
    <t>exo_lFDIShare_3_1</t>
  </si>
  <si>
    <t>exo_sFDIShare_3_1</t>
  </si>
  <si>
    <t>exo_r_FDI_3_1</t>
  </si>
  <si>
    <t>idx_PV_Res_1</t>
  </si>
  <si>
    <t>exo_PV_1</t>
  </si>
  <si>
    <t>exo_GA_4_1</t>
  </si>
  <si>
    <t>exo_GA_5_1</t>
  </si>
  <si>
    <t>idx_GA_4_1_plan</t>
  </si>
  <si>
    <t>idx_GA_5_1_plan</t>
  </si>
  <si>
    <t>idx_PV_1_plan</t>
  </si>
  <si>
    <t>idx_PV_1_plan_inv</t>
  </si>
  <si>
    <t>exo_lAddEE_4_1</t>
  </si>
  <si>
    <t>exo_lAddEE_5_1</t>
  </si>
  <si>
    <t>exo_E_NOETS_1_1</t>
  </si>
  <si>
    <t>exo_lE_NOETS_1_1</t>
  </si>
  <si>
    <t>exo_lE_NOETS_Target_1_1</t>
  </si>
  <si>
    <t>exo_PVEff_1</t>
  </si>
  <si>
    <t>exo_I_FDI_2_1</t>
  </si>
  <si>
    <t>exo_r_FDI_2_1</t>
  </si>
  <si>
    <t>exo_sFDIShare_2_1</t>
  </si>
  <si>
    <t>exo_lFDIShare_2_1</t>
  </si>
  <si>
    <t>exo_BG_1</t>
  </si>
  <si>
    <t>exo_lNXTarget_1</t>
  </si>
  <si>
    <t>exo_lIGShare_2_1</t>
  </si>
  <si>
    <t>exo_sIGShare_2_1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</si>
</sst>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u/>
      <sz val="11"/>
      <color theme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2" borderId="0" xfId="0" applyFill="1"/>
    <xf numFmtId="0" fontId="2" fillId="2" borderId="0" xfId="0" applyFont="1" applyFill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85F9A-C1BA-4D87-AC99-FD6D79D12D17}">
  <dimension ref="A1:C10"/>
  <sheetViews>
    <sheetView workbookViewId="0">
      <selection sqref="A1:XFD1048576"/>
    </sheetView>
  </sheetViews>
  <sheetFormatPr defaultRowHeight="15" x14ac:dyDescent="0.25"/>
  <cols>
    <col min="1" max="1" width="8.5703125" bestFit="1" customWidth="1"/>
    <col min="2" max="2" width="42.85546875" bestFit="1" customWidth="1"/>
  </cols>
  <sheetData>
    <row r="1" spans="1:3" x14ac:dyDescent="0.25">
      <c r="A1" s="2" t="s">
        <v>0</v>
      </c>
      <c r="B1" s="2"/>
      <c r="C1" s="2"/>
    </row>
    <row r="2" spans="1:3" x14ac:dyDescent="0.25">
      <c r="A2" s="1" t="str">
        <f>HYPERLINK("#'Baseline'!A1","Baseline")</f>
        <v>Baseline</v>
      </c>
      <c r="B2" t="s">
        <v>3</v>
      </c>
    </row>
    <row r="3" spans="1:3" x14ac:dyDescent="0.25">
      <c r="A3" t="s">
        <v>1</v>
      </c>
    </row>
    <row r="4" spans="1:3" x14ac:dyDescent="0.25">
      <c r="A4">
        <v>1</v>
      </c>
      <c r="B4" t="s">
        <v>4</v>
      </c>
    </row>
    <row r="5" spans="1:3" x14ac:dyDescent="0.25">
      <c r="A5" t="s">
        <v>2</v>
      </c>
    </row>
    <row r="6" spans="1:3" x14ac:dyDescent="0.25">
      <c r="A6">
        <v>1</v>
      </c>
      <c r="B6" t="s">
        <v>5</v>
      </c>
    </row>
    <row r="7" spans="1:3" x14ac:dyDescent="0.25">
      <c r="A7">
        <v>2</v>
      </c>
      <c r="B7" t="s">
        <v>6</v>
      </c>
    </row>
    <row r="8" spans="1:3" x14ac:dyDescent="0.25">
      <c r="A8">
        <v>3</v>
      </c>
      <c r="B8" t="s">
        <v>7</v>
      </c>
    </row>
    <row r="9" spans="1:3" x14ac:dyDescent="0.25">
      <c r="A9">
        <v>4</v>
      </c>
      <c r="B9" t="s">
        <v>8</v>
      </c>
    </row>
    <row r="10" spans="1:3" x14ac:dyDescent="0.25">
      <c r="A10">
        <v>5</v>
      </c>
      <c r="B10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27"/>
  <sheetViews>
    <sheetView tabSelected="1" topLeftCell="X1" zoomScale="145" zoomScaleNormal="145" workbookViewId="0">
      <selection activeCell="AE2" sqref="AE2"/>
    </sheetView>
  </sheetViews>
  <sheetFormatPr defaultRowHeight="15" x14ac:dyDescent="0.25"/>
  <cols>
    <col min="1" max="1" width="5.42578125" bestFit="1" customWidth="1"/>
    <col min="2" max="2" width="5" bestFit="1" customWidth="1"/>
    <col min="3" max="14" width="12" bestFit="1" customWidth="1"/>
    <col min="15" max="15" width="8.5703125" bestFit="1" customWidth="1"/>
    <col min="16" max="16" width="10" bestFit="1" customWidth="1"/>
    <col min="17" max="17" width="10.28515625" bestFit="1" customWidth="1"/>
    <col min="18" max="18" width="12.7109375" bestFit="1" customWidth="1"/>
    <col min="19" max="21" width="10.28515625" bestFit="1" customWidth="1"/>
    <col min="22" max="22" width="12.7109375" bestFit="1" customWidth="1"/>
    <col min="23" max="23" width="13" customWidth="1"/>
    <col min="24" max="24" width="12.7109375" customWidth="1"/>
    <col min="25" max="29" width="12.7109375" bestFit="1" customWidth="1"/>
    <col min="30" max="31" width="16.28515625" bestFit="1" customWidth="1"/>
    <col min="32" max="33" width="16.85546875" bestFit="1" customWidth="1"/>
    <col min="34" max="38" width="12.5703125" bestFit="1" customWidth="1"/>
    <col min="39" max="43" width="12.28515625" bestFit="1" customWidth="1"/>
    <col min="44" max="44" width="7.42578125" bestFit="1" customWidth="1"/>
    <col min="45" max="45" width="9.42578125" bestFit="1" customWidth="1"/>
    <col min="46" max="50" width="13.28515625" bestFit="1" customWidth="1"/>
    <col min="51" max="51" width="18" bestFit="1" customWidth="1"/>
    <col min="52" max="55" width="18" customWidth="1"/>
    <col min="56" max="56" width="18.28515625" bestFit="1" customWidth="1"/>
    <col min="57" max="57" width="14" bestFit="1" customWidth="1"/>
    <col min="58" max="58" width="13.42578125" bestFit="1" customWidth="1"/>
    <col min="59" max="61" width="12" bestFit="1" customWidth="1"/>
    <col min="62" max="63" width="16.28515625" bestFit="1" customWidth="1"/>
    <col min="64" max="64" width="14.140625" bestFit="1" customWidth="1"/>
    <col min="65" max="65" width="18" bestFit="1" customWidth="1"/>
    <col min="66" max="67" width="15.5703125" bestFit="1" customWidth="1"/>
    <col min="68" max="68" width="17.42578125" bestFit="1" customWidth="1"/>
    <col min="69" max="69" width="18" bestFit="1" customWidth="1"/>
    <col min="70" max="70" width="24.7109375" bestFit="1" customWidth="1"/>
    <col min="71" max="71" width="12.140625" bestFit="1" customWidth="1"/>
  </cols>
  <sheetData>
    <row r="1" spans="1:74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3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3" t="s">
        <v>76</v>
      </c>
      <c r="Y1" s="2" t="s">
        <v>33</v>
      </c>
      <c r="Z1" s="2" t="s">
        <v>34</v>
      </c>
      <c r="AA1" s="2" t="s">
        <v>35</v>
      </c>
      <c r="AB1" s="2" t="s">
        <v>36</v>
      </c>
      <c r="AC1" s="2" t="s">
        <v>37</v>
      </c>
      <c r="AD1" s="3" t="s">
        <v>38</v>
      </c>
      <c r="AE1" s="3" t="s">
        <v>39</v>
      </c>
      <c r="AF1" s="3" t="s">
        <v>40</v>
      </c>
      <c r="AG1" s="2" t="s">
        <v>41</v>
      </c>
      <c r="AH1" s="2" t="s">
        <v>42</v>
      </c>
      <c r="AI1" s="2" t="s">
        <v>43</v>
      </c>
      <c r="AJ1" s="2" t="s">
        <v>44</v>
      </c>
      <c r="AK1" s="2" t="s">
        <v>45</v>
      </c>
      <c r="AL1" s="2" t="s">
        <v>46</v>
      </c>
      <c r="AM1" s="2" t="s">
        <v>47</v>
      </c>
      <c r="AN1" s="2" t="s">
        <v>48</v>
      </c>
      <c r="AO1" s="3" t="s">
        <v>77</v>
      </c>
      <c r="AP1" s="2" t="s">
        <v>49</v>
      </c>
      <c r="AQ1" s="2" t="s">
        <v>50</v>
      </c>
      <c r="AR1" s="2" t="s">
        <v>51</v>
      </c>
      <c r="AS1" s="2" t="s">
        <v>52</v>
      </c>
      <c r="AT1" s="2" t="s">
        <v>53</v>
      </c>
      <c r="AU1" s="2" t="s">
        <v>54</v>
      </c>
      <c r="AV1" s="2" t="s">
        <v>55</v>
      </c>
      <c r="AW1" s="2" t="s">
        <v>56</v>
      </c>
      <c r="AX1" s="2" t="s">
        <v>57</v>
      </c>
      <c r="AY1" s="2" t="s">
        <v>58</v>
      </c>
      <c r="AZ1" s="3" t="s">
        <v>82</v>
      </c>
      <c r="BA1" s="3" t="s">
        <v>83</v>
      </c>
      <c r="BB1" s="3" t="s">
        <v>79</v>
      </c>
      <c r="BC1" s="3" t="s">
        <v>78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80</v>
      </c>
      <c r="BV1" s="3" t="s">
        <v>81</v>
      </c>
    </row>
    <row r="2" spans="1:74" x14ac:dyDescent="0.25">
      <c r="A2">
        <v>2</v>
      </c>
      <c r="B2">
        <v>2026</v>
      </c>
      <c r="C2">
        <v>7.2516633953202065E-3</v>
      </c>
      <c r="D2">
        <v>1.822047269944792E-3</v>
      </c>
      <c r="E2">
        <v>1.0518321404802085</v>
      </c>
      <c r="F2">
        <v>1.0014125956958979</v>
      </c>
      <c r="G2">
        <v>1.4468147892948211</v>
      </c>
      <c r="H2">
        <v>1.1480851173209274</v>
      </c>
      <c r="I2">
        <v>1.0841068723212468</v>
      </c>
      <c r="J2">
        <v>0.90856621698233642</v>
      </c>
      <c r="K2">
        <v>0.93792454302218076</v>
      </c>
      <c r="L2">
        <v>1.9886266319374539</v>
      </c>
      <c r="M2">
        <v>0.99676853238615093</v>
      </c>
      <c r="N2">
        <v>1.0385038245745817</v>
      </c>
      <c r="O2">
        <v>1</v>
      </c>
      <c r="P2">
        <v>1</v>
      </c>
      <c r="Q2">
        <v>0</v>
      </c>
      <c r="R2">
        <v>4.8790164169432049E-2</v>
      </c>
      <c r="S2">
        <v>0</v>
      </c>
      <c r="T2">
        <v>0</v>
      </c>
      <c r="U2">
        <v>0</v>
      </c>
      <c r="V2">
        <v>0</v>
      </c>
      <c r="W2">
        <v>-1.3862943611198906</v>
      </c>
      <c r="X2">
        <v>1</v>
      </c>
      <c r="Y2">
        <v>0</v>
      </c>
      <c r="Z2">
        <v>0.54849813334586273</v>
      </c>
      <c r="AA2">
        <v>0.31998896547964689</v>
      </c>
      <c r="AB2">
        <v>0</v>
      </c>
      <c r="AC2">
        <v>0</v>
      </c>
      <c r="AD2">
        <v>3.7995182663847799E-2</v>
      </c>
      <c r="AE2">
        <v>9.4347042139707807E-2</v>
      </c>
      <c r="AF2">
        <v>1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-0.08</v>
      </c>
      <c r="AO2">
        <v>0</v>
      </c>
      <c r="AP2">
        <v>0</v>
      </c>
      <c r="AQ2">
        <v>0</v>
      </c>
      <c r="AR2">
        <v>0</v>
      </c>
      <c r="AS2">
        <v>0</v>
      </c>
      <c r="AT2">
        <v>1.1000000000000001E-2</v>
      </c>
      <c r="AU2">
        <v>0</v>
      </c>
      <c r="AV2">
        <v>0</v>
      </c>
      <c r="AW2">
        <v>0</v>
      </c>
      <c r="AX2">
        <v>5.0000000000000001E-3</v>
      </c>
      <c r="AY2">
        <v>0.02</v>
      </c>
      <c r="AZ2">
        <v>1</v>
      </c>
      <c r="BA2" s="4">
        <v>0.85</v>
      </c>
      <c r="BB2">
        <v>1</v>
      </c>
      <c r="BC2">
        <v>0</v>
      </c>
      <c r="BD2">
        <v>1</v>
      </c>
      <c r="BE2">
        <v>0.14000000000000001</v>
      </c>
      <c r="BF2">
        <v>-3.8381578947368399E-2</v>
      </c>
      <c r="BG2">
        <v>1</v>
      </c>
      <c r="BH2">
        <v>1.2999999999999999E-3</v>
      </c>
      <c r="BI2">
        <v>6.4000000000000015E-2</v>
      </c>
      <c r="BJ2">
        <v>4.7000000000000028E-2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0</v>
      </c>
      <c r="BR2">
        <v>1</v>
      </c>
      <c r="BS2">
        <v>0</v>
      </c>
      <c r="BT2">
        <v>6.7665190508490347E-2</v>
      </c>
      <c r="BU2">
        <v>0</v>
      </c>
      <c r="BV2">
        <v>1</v>
      </c>
    </row>
    <row r="3" spans="1:74" x14ac:dyDescent="0.25">
      <c r="A3">
        <v>3</v>
      </c>
      <c r="B3">
        <v>2027</v>
      </c>
      <c r="C3">
        <v>1.4451118538174506E-2</v>
      </c>
      <c r="D3">
        <v>3.6407807206558424E-3</v>
      </c>
      <c r="E3">
        <v>1.0496263296845247</v>
      </c>
      <c r="F3">
        <v>0.99170682973170377</v>
      </c>
      <c r="G3">
        <v>1.3636800999319649</v>
      </c>
      <c r="H3">
        <v>1.1460711738659657</v>
      </c>
      <c r="I3">
        <v>1.0838738772966212</v>
      </c>
      <c r="J3">
        <v>0.89936475591031018</v>
      </c>
      <c r="K3">
        <v>0.93381615030799892</v>
      </c>
      <c r="L3">
        <v>1.4971403963217909</v>
      </c>
      <c r="M3">
        <v>0.99675805614959212</v>
      </c>
      <c r="N3">
        <v>1.0370762472544142</v>
      </c>
      <c r="O3">
        <v>1</v>
      </c>
      <c r="P3">
        <v>1</v>
      </c>
      <c r="Q3">
        <v>0</v>
      </c>
      <c r="R3">
        <v>7.8348966410976315E-2</v>
      </c>
      <c r="S3">
        <v>0</v>
      </c>
      <c r="T3">
        <v>0</v>
      </c>
      <c r="U3">
        <v>0</v>
      </c>
      <c r="V3">
        <v>0</v>
      </c>
      <c r="W3">
        <v>-2.7725887222397811</v>
      </c>
      <c r="X3">
        <v>1</v>
      </c>
      <c r="Y3">
        <v>0</v>
      </c>
      <c r="Z3">
        <v>1.1490556516611827</v>
      </c>
      <c r="AA3">
        <v>2.6423265652528665</v>
      </c>
      <c r="AB3">
        <v>0</v>
      </c>
      <c r="AC3">
        <v>0</v>
      </c>
      <c r="AD3">
        <v>3.59899079185085E-2</v>
      </c>
      <c r="AE3">
        <v>8.9759395532134301E-2</v>
      </c>
      <c r="AF3">
        <v>1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-0.08</v>
      </c>
      <c r="AO3">
        <v>0</v>
      </c>
      <c r="AP3">
        <v>0</v>
      </c>
      <c r="AQ3">
        <v>0</v>
      </c>
      <c r="AR3">
        <v>0</v>
      </c>
      <c r="AS3">
        <v>0</v>
      </c>
      <c r="AT3">
        <v>1.7250793650793649E-2</v>
      </c>
      <c r="AU3">
        <v>0</v>
      </c>
      <c r="AV3">
        <v>0</v>
      </c>
      <c r="AW3">
        <v>0</v>
      </c>
      <c r="AX3">
        <v>1.339955161288504E-2</v>
      </c>
      <c r="AY3">
        <v>4.2907013246408846E-2</v>
      </c>
      <c r="AZ3">
        <v>1</v>
      </c>
      <c r="BA3" s="4">
        <v>0.85</v>
      </c>
      <c r="BB3">
        <v>1</v>
      </c>
      <c r="BC3">
        <v>0</v>
      </c>
      <c r="BD3">
        <v>1</v>
      </c>
      <c r="BE3">
        <v>0.14000000000000001</v>
      </c>
      <c r="BF3">
        <v>-3.8381578947368399E-2</v>
      </c>
      <c r="BG3">
        <v>2.4356709000552055</v>
      </c>
      <c r="BH3">
        <v>3.1663721700717672E-3</v>
      </c>
      <c r="BI3">
        <v>7.5757592490336936E-2</v>
      </c>
      <c r="BJ3">
        <v>5.5460519050248458E-2</v>
      </c>
      <c r="BK3">
        <v>1.143567090005523</v>
      </c>
      <c r="BL3">
        <v>1.1435670900055206</v>
      </c>
      <c r="BM3">
        <v>1.1435670900055217</v>
      </c>
      <c r="BN3">
        <v>2.4356709000552166</v>
      </c>
      <c r="BO3">
        <v>1</v>
      </c>
      <c r="BP3">
        <v>1</v>
      </c>
      <c r="BQ3">
        <v>0</v>
      </c>
      <c r="BR3">
        <v>1</v>
      </c>
      <c r="BS3">
        <v>0</v>
      </c>
      <c r="BT3">
        <v>0.13539852345039727</v>
      </c>
      <c r="BU3">
        <v>0</v>
      </c>
      <c r="BV3">
        <v>1</v>
      </c>
    </row>
    <row r="4" spans="1:74" x14ac:dyDescent="0.25">
      <c r="A4">
        <v>4</v>
      </c>
      <c r="B4">
        <v>2028</v>
      </c>
      <c r="C4">
        <v>2.1599111803461721E-2</v>
      </c>
      <c r="D4">
        <v>5.4562123841645068E-3</v>
      </c>
      <c r="E4">
        <v>1.0472087963307122</v>
      </c>
      <c r="F4">
        <v>0.97988134827370976</v>
      </c>
      <c r="G4">
        <v>1.3126951254474069</v>
      </c>
      <c r="H4">
        <v>1.1442191483462696</v>
      </c>
      <c r="I4">
        <v>1.0836339491657823</v>
      </c>
      <c r="J4">
        <v>0.88810408298929855</v>
      </c>
      <c r="K4">
        <v>0.9291253961819228</v>
      </c>
      <c r="L4">
        <v>1.3320599708238297</v>
      </c>
      <c r="M4">
        <v>0.99674751176536147</v>
      </c>
      <c r="N4">
        <v>1.0357507438364062</v>
      </c>
      <c r="O4">
        <v>1</v>
      </c>
      <c r="P4">
        <v>1</v>
      </c>
      <c r="Q4">
        <v>0</v>
      </c>
      <c r="R4">
        <v>9.8151593707156065E-2</v>
      </c>
      <c r="S4">
        <v>0</v>
      </c>
      <c r="T4">
        <v>0</v>
      </c>
      <c r="U4">
        <v>0</v>
      </c>
      <c r="V4">
        <v>0</v>
      </c>
      <c r="W4">
        <v>-4.1588830833596715</v>
      </c>
      <c r="X4">
        <v>1</v>
      </c>
      <c r="Y4">
        <v>0</v>
      </c>
      <c r="Z4">
        <v>1.2247851922799899</v>
      </c>
      <c r="AA4">
        <v>2.6699148012460974</v>
      </c>
      <c r="AB4">
        <v>0</v>
      </c>
      <c r="AC4">
        <v>0</v>
      </c>
      <c r="AD4">
        <v>3.4035218807331402E-2</v>
      </c>
      <c r="AE4">
        <v>8.5226138868584905E-2</v>
      </c>
      <c r="AF4">
        <v>1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-0.08</v>
      </c>
      <c r="AO4">
        <v>0</v>
      </c>
      <c r="AP4">
        <v>0</v>
      </c>
      <c r="AQ4">
        <v>0</v>
      </c>
      <c r="AR4">
        <v>0</v>
      </c>
      <c r="AS4">
        <v>0</v>
      </c>
      <c r="AT4">
        <v>2.6553243951302211E-2</v>
      </c>
      <c r="AU4">
        <v>0</v>
      </c>
      <c r="AV4">
        <v>0</v>
      </c>
      <c r="AW4">
        <v>0</v>
      </c>
      <c r="AX4">
        <v>2.600784707266432E-2</v>
      </c>
      <c r="AY4">
        <v>6.9407794021680402E-2</v>
      </c>
      <c r="AZ4">
        <v>1</v>
      </c>
      <c r="BA4" s="4">
        <v>0.85</v>
      </c>
      <c r="BB4">
        <v>1</v>
      </c>
      <c r="BC4">
        <v>0</v>
      </c>
      <c r="BD4">
        <v>1</v>
      </c>
      <c r="BE4">
        <v>0.14000000000000001</v>
      </c>
      <c r="BF4">
        <v>-3.8381578947368399E-2</v>
      </c>
      <c r="BG4">
        <v>3.9983434566537923</v>
      </c>
      <c r="BH4">
        <v>5.1978464936499299E-3</v>
      </c>
      <c r="BI4">
        <v>9.6171728326891248E-2</v>
      </c>
      <c r="BJ4">
        <v>7.0307012700165691E-2</v>
      </c>
      <c r="BK4">
        <v>1.4290447266703479</v>
      </c>
      <c r="BL4">
        <v>1.4290447266703477</v>
      </c>
      <c r="BM4">
        <v>1.4290447266703479</v>
      </c>
      <c r="BN4">
        <v>3.9983434566537834</v>
      </c>
      <c r="BO4">
        <v>1</v>
      </c>
      <c r="BP4">
        <v>1</v>
      </c>
      <c r="BQ4">
        <v>0</v>
      </c>
      <c r="BR4">
        <v>1</v>
      </c>
      <c r="BS4">
        <v>0</v>
      </c>
      <c r="BT4">
        <v>0.2031995860302872</v>
      </c>
      <c r="BU4">
        <v>0</v>
      </c>
      <c r="BV4">
        <v>1</v>
      </c>
    </row>
    <row r="5" spans="1:74" x14ac:dyDescent="0.25">
      <c r="A5">
        <v>5</v>
      </c>
      <c r="B5">
        <v>2029</v>
      </c>
      <c r="C5">
        <v>2.8696373674223338E-2</v>
      </c>
      <c r="D5">
        <v>7.2683542270908447E-3</v>
      </c>
      <c r="E5">
        <v>1.044547520762156</v>
      </c>
      <c r="F5">
        <v>0.96515661602121727</v>
      </c>
      <c r="G5">
        <v>1.2782322745446359</v>
      </c>
      <c r="H5">
        <v>1.1425102684666628</v>
      </c>
      <c r="I5">
        <v>1.083386773798017</v>
      </c>
      <c r="J5">
        <v>0.87400585229372296</v>
      </c>
      <c r="K5">
        <v>0.92371901133116818</v>
      </c>
      <c r="L5">
        <v>1.2492830488844004</v>
      </c>
      <c r="M5">
        <v>0.99673689856634018</v>
      </c>
      <c r="N5">
        <v>1.0345167445441419</v>
      </c>
      <c r="O5">
        <v>1</v>
      </c>
      <c r="P5">
        <v>1</v>
      </c>
      <c r="Q5">
        <v>0</v>
      </c>
      <c r="R5">
        <v>0.10810192456032412</v>
      </c>
      <c r="S5">
        <v>0</v>
      </c>
      <c r="T5">
        <v>0</v>
      </c>
      <c r="U5">
        <v>0</v>
      </c>
      <c r="V5">
        <v>0</v>
      </c>
      <c r="W5">
        <v>-5.521460917862246</v>
      </c>
      <c r="X5">
        <v>1</v>
      </c>
      <c r="Y5">
        <v>0</v>
      </c>
      <c r="Z5">
        <v>1.2951812992801772</v>
      </c>
      <c r="AA5">
        <v>2.6967623159500245</v>
      </c>
      <c r="AB5">
        <v>0</v>
      </c>
      <c r="AC5">
        <v>0</v>
      </c>
      <c r="AD5">
        <v>3.2138490460843501E-2</v>
      </c>
      <c r="AE5">
        <v>8.0775297503101195E-2</v>
      </c>
      <c r="AF5">
        <v>1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-0.08</v>
      </c>
      <c r="AO5">
        <v>0</v>
      </c>
      <c r="AP5">
        <v>0</v>
      </c>
      <c r="AQ5">
        <v>0</v>
      </c>
      <c r="AR5">
        <v>0</v>
      </c>
      <c r="AS5">
        <v>0</v>
      </c>
      <c r="AT5">
        <v>4.134502128791108E-2</v>
      </c>
      <c r="AU5">
        <v>0</v>
      </c>
      <c r="AV5">
        <v>0</v>
      </c>
      <c r="AW5">
        <v>0</v>
      </c>
      <c r="AX5">
        <v>5.6524348131431881E-2</v>
      </c>
      <c r="AY5">
        <v>0.11115701287280108</v>
      </c>
      <c r="AZ5">
        <v>1</v>
      </c>
      <c r="BA5" s="4">
        <v>0.85</v>
      </c>
      <c r="BB5">
        <v>1</v>
      </c>
      <c r="BC5">
        <v>0</v>
      </c>
      <c r="BD5">
        <v>1</v>
      </c>
      <c r="BE5">
        <v>0.14000000000000001</v>
      </c>
      <c r="BF5">
        <v>-3.8381578947368399E-2</v>
      </c>
      <c r="BG5">
        <v>10.225289895085661</v>
      </c>
      <c r="BH5">
        <v>1.3292876863611358E-2</v>
      </c>
      <c r="BI5">
        <v>0.15282882385422381</v>
      </c>
      <c r="BJ5">
        <v>0.11189011595803464</v>
      </c>
      <c r="BK5">
        <v>2.3086692435118645</v>
      </c>
      <c r="BL5">
        <v>2.3086692435118792</v>
      </c>
      <c r="BM5">
        <v>2.3086692435118721</v>
      </c>
      <c r="BN5">
        <v>10.22528989508559</v>
      </c>
      <c r="BO5">
        <v>1</v>
      </c>
      <c r="BP5">
        <v>1</v>
      </c>
      <c r="BQ5">
        <v>0</v>
      </c>
      <c r="BR5">
        <v>1</v>
      </c>
      <c r="BS5">
        <v>0</v>
      </c>
      <c r="BT5">
        <v>0.27106781689211473</v>
      </c>
      <c r="BU5">
        <v>0</v>
      </c>
      <c r="BV5">
        <v>1</v>
      </c>
    </row>
    <row r="6" spans="1:74" x14ac:dyDescent="0.25">
      <c r="A6">
        <v>6</v>
      </c>
      <c r="B6">
        <v>2030</v>
      </c>
      <c r="C6">
        <v>3.5743619189626333E-2</v>
      </c>
      <c r="D6">
        <v>9.0772181511169E-3</v>
      </c>
      <c r="E6">
        <v>1.0416036839404668</v>
      </c>
      <c r="F6">
        <v>0.94631745779443477</v>
      </c>
      <c r="G6">
        <v>1.2533801844183157</v>
      </c>
      <c r="H6">
        <v>1.1409285558335389</v>
      </c>
      <c r="I6">
        <v>1.0831320177944241</v>
      </c>
      <c r="J6">
        <v>0.85584290153707698</v>
      </c>
      <c r="K6">
        <v>0.91741970476616741</v>
      </c>
      <c r="L6">
        <v>1.1995408879573033</v>
      </c>
      <c r="M6">
        <v>0.99672621587667376</v>
      </c>
      <c r="N6">
        <v>1.033365090247381</v>
      </c>
      <c r="O6">
        <v>1</v>
      </c>
      <c r="P6">
        <v>1</v>
      </c>
      <c r="Q6">
        <v>0</v>
      </c>
      <c r="R6">
        <v>0.10810192456032412</v>
      </c>
      <c r="S6">
        <v>0</v>
      </c>
      <c r="T6">
        <v>0</v>
      </c>
      <c r="U6">
        <v>0</v>
      </c>
      <c r="V6">
        <v>0</v>
      </c>
      <c r="W6">
        <v>-5.521460917862246</v>
      </c>
      <c r="X6">
        <v>1</v>
      </c>
      <c r="Y6">
        <v>0</v>
      </c>
      <c r="Z6">
        <v>1.3609460383140015</v>
      </c>
      <c r="AA6">
        <v>2.7229078470617507</v>
      </c>
      <c r="AB6">
        <v>0</v>
      </c>
      <c r="AC6">
        <v>0</v>
      </c>
      <c r="AD6">
        <v>2.83886655000084E-2</v>
      </c>
      <c r="AE6">
        <v>6.5818064589501998E-2</v>
      </c>
      <c r="AF6">
        <v>1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-0.08</v>
      </c>
      <c r="AO6">
        <v>0</v>
      </c>
      <c r="AP6">
        <v>0</v>
      </c>
      <c r="AQ6">
        <v>0</v>
      </c>
      <c r="AR6">
        <v>0</v>
      </c>
      <c r="AS6">
        <v>0</v>
      </c>
      <c r="AT6">
        <v>6.4828075910851837E-2</v>
      </c>
      <c r="AU6">
        <v>0</v>
      </c>
      <c r="AV6">
        <v>0</v>
      </c>
      <c r="AW6">
        <v>0</v>
      </c>
      <c r="AX6">
        <v>0.11284776272089231</v>
      </c>
      <c r="AY6">
        <v>0.17465109009273258</v>
      </c>
      <c r="AZ6">
        <v>1</v>
      </c>
      <c r="BA6" s="4">
        <v>0.85</v>
      </c>
      <c r="BB6">
        <v>1</v>
      </c>
      <c r="BC6">
        <v>0</v>
      </c>
      <c r="BD6">
        <v>1</v>
      </c>
      <c r="BE6">
        <v>0.14000000000000001</v>
      </c>
      <c r="BF6">
        <v>-3.8381578947368399E-2</v>
      </c>
      <c r="BG6">
        <v>19.789618995030288</v>
      </c>
      <c r="BH6">
        <v>2.5726504693539376E-2</v>
      </c>
      <c r="BI6">
        <v>0.26246261733848725</v>
      </c>
      <c r="BJ6">
        <v>0.19255438983986753</v>
      </c>
      <c r="BK6">
        <v>4.0567642186637238</v>
      </c>
      <c r="BL6">
        <v>4.0567642186637203</v>
      </c>
      <c r="BM6">
        <v>4.0567642186637221</v>
      </c>
      <c r="BN6">
        <v>19.789618995030366</v>
      </c>
      <c r="BO6">
        <v>1</v>
      </c>
      <c r="BP6">
        <v>1</v>
      </c>
      <c r="BQ6">
        <v>0</v>
      </c>
      <c r="BR6">
        <v>1</v>
      </c>
      <c r="BS6">
        <v>0</v>
      </c>
      <c r="BT6">
        <v>0.33900402892856984</v>
      </c>
      <c r="BU6">
        <v>0</v>
      </c>
      <c r="BV6">
        <v>1</v>
      </c>
    </row>
    <row r="7" spans="1:74" x14ac:dyDescent="0.25">
      <c r="A7">
        <v>7</v>
      </c>
      <c r="B7">
        <v>2031</v>
      </c>
      <c r="C7">
        <v>3.6024478621328009E-2</v>
      </c>
      <c r="D7">
        <v>2.1053409197832915E-2</v>
      </c>
      <c r="E7">
        <v>1.0512000000000001</v>
      </c>
      <c r="F7">
        <v>1.022</v>
      </c>
      <c r="G7">
        <v>1.1169000000000002</v>
      </c>
      <c r="H7">
        <v>1.05571904028646</v>
      </c>
      <c r="I7">
        <v>1.1438424356975645</v>
      </c>
      <c r="J7">
        <v>1.1684387382357437</v>
      </c>
      <c r="K7">
        <v>1.0900136489382257</v>
      </c>
      <c r="L7">
        <v>0.83365228316885365</v>
      </c>
      <c r="M7">
        <v>1.0032845369883714</v>
      </c>
      <c r="N7">
        <v>0.9677121952712826</v>
      </c>
      <c r="O7">
        <v>1</v>
      </c>
      <c r="P7">
        <v>1</v>
      </c>
      <c r="Q7">
        <v>0</v>
      </c>
      <c r="R7">
        <v>9.8051588706822734E-2</v>
      </c>
      <c r="S7">
        <v>0</v>
      </c>
      <c r="T7">
        <v>0</v>
      </c>
      <c r="U7">
        <v>0</v>
      </c>
      <c r="V7">
        <v>0</v>
      </c>
      <c r="W7">
        <v>-5.521460917862246</v>
      </c>
      <c r="X7">
        <v>1</v>
      </c>
      <c r="Y7">
        <v>0</v>
      </c>
      <c r="Z7">
        <v>1.3814139551321856</v>
      </c>
      <c r="AA7">
        <v>2.5846976114035396</v>
      </c>
      <c r="AB7">
        <v>0</v>
      </c>
      <c r="AC7">
        <v>0</v>
      </c>
      <c r="AD7">
        <v>1.62390699591052E-2</v>
      </c>
      <c r="AE7">
        <v>5.7027287247927903E-2</v>
      </c>
      <c r="AF7">
        <v>1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-0.08</v>
      </c>
      <c r="AO7">
        <v>0</v>
      </c>
      <c r="AP7">
        <v>0</v>
      </c>
      <c r="AQ7">
        <v>0</v>
      </c>
      <c r="AR7">
        <v>0</v>
      </c>
      <c r="AS7">
        <v>0</v>
      </c>
      <c r="AT7">
        <v>0.10262985260751746</v>
      </c>
      <c r="AU7">
        <v>0</v>
      </c>
      <c r="AV7">
        <v>0</v>
      </c>
      <c r="AW7">
        <v>0</v>
      </c>
      <c r="AX7">
        <v>0.12098105572745088</v>
      </c>
      <c r="AY7">
        <v>0.19087057495743348</v>
      </c>
      <c r="AZ7">
        <v>1</v>
      </c>
      <c r="BA7" s="4">
        <v>0.85</v>
      </c>
      <c r="BB7">
        <v>1</v>
      </c>
      <c r="BC7">
        <v>0</v>
      </c>
      <c r="BD7">
        <v>1</v>
      </c>
      <c r="BE7">
        <v>0.14000000000000001</v>
      </c>
      <c r="BF7">
        <v>-3.8381578947368399E-2</v>
      </c>
      <c r="BG7">
        <v>7.9993926335742582</v>
      </c>
      <c r="BH7">
        <v>1.0399210423646535E-2</v>
      </c>
      <c r="BI7">
        <v>0.28485802375725572</v>
      </c>
      <c r="BJ7">
        <v>0.21129621770696497</v>
      </c>
      <c r="BK7">
        <v>4.3911151435615672</v>
      </c>
      <c r="BL7">
        <v>4.4510270601547743</v>
      </c>
      <c r="BM7">
        <v>4.4212921038100497</v>
      </c>
      <c r="BN7">
        <v>7.7020430701269982</v>
      </c>
      <c r="BO7">
        <v>1</v>
      </c>
      <c r="BP7">
        <v>1</v>
      </c>
      <c r="BQ7">
        <v>-1.3986241974739839E-2</v>
      </c>
      <c r="BR7">
        <v>1</v>
      </c>
      <c r="BS7">
        <v>0</v>
      </c>
      <c r="BT7">
        <v>0.40700858300437631</v>
      </c>
      <c r="BU7">
        <v>0</v>
      </c>
      <c r="BV7">
        <v>1</v>
      </c>
    </row>
    <row r="8" spans="1:74" x14ac:dyDescent="0.25">
      <c r="A8">
        <v>8</v>
      </c>
      <c r="B8">
        <v>2032</v>
      </c>
      <c r="C8">
        <v>3.6305259193157122E-2</v>
      </c>
      <c r="D8">
        <v>3.2887866844835856E-2</v>
      </c>
      <c r="E8">
        <v>1.0448229166666669</v>
      </c>
      <c r="F8">
        <v>1.0123750000000002</v>
      </c>
      <c r="G8">
        <v>1.1116274509803923</v>
      </c>
      <c r="H8">
        <v>1.0496842200022587</v>
      </c>
      <c r="I8">
        <v>1.1368040216531614</v>
      </c>
      <c r="J8">
        <v>1.1441570984629228</v>
      </c>
      <c r="K8">
        <v>1.0825802952338326</v>
      </c>
      <c r="L8">
        <v>0.80045911204269671</v>
      </c>
      <c r="M8">
        <v>1.0032737841233261</v>
      </c>
      <c r="N8">
        <v>0.96663490975261923</v>
      </c>
      <c r="O8">
        <v>1</v>
      </c>
      <c r="P8">
        <v>1</v>
      </c>
      <c r="Q8">
        <v>0</v>
      </c>
      <c r="R8">
        <v>7.7848881389303376E-2</v>
      </c>
      <c r="S8">
        <v>0</v>
      </c>
      <c r="T8">
        <v>0</v>
      </c>
      <c r="U8">
        <v>0</v>
      </c>
      <c r="V8">
        <v>0</v>
      </c>
      <c r="W8">
        <v>-5.521460917862246</v>
      </c>
      <c r="X8">
        <v>1</v>
      </c>
      <c r="Y8">
        <v>0</v>
      </c>
      <c r="Z8">
        <v>1.1625196898931591</v>
      </c>
      <c r="AA8">
        <v>2.5496568516553086</v>
      </c>
      <c r="AB8">
        <v>0</v>
      </c>
      <c r="AC8">
        <v>0</v>
      </c>
      <c r="AD8">
        <v>1.5053532455021499E-2</v>
      </c>
      <c r="AE8">
        <v>5.4227612717120802E-2</v>
      </c>
      <c r="AF8">
        <v>1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-0.08</v>
      </c>
      <c r="AO8">
        <v>0</v>
      </c>
      <c r="AP8">
        <v>0</v>
      </c>
      <c r="AQ8">
        <v>0</v>
      </c>
      <c r="AR8">
        <v>0</v>
      </c>
      <c r="AS8">
        <v>0</v>
      </c>
      <c r="AT8">
        <v>0.10348887328306287</v>
      </c>
      <c r="AU8">
        <v>0</v>
      </c>
      <c r="AV8">
        <v>0</v>
      </c>
      <c r="AW8">
        <v>0</v>
      </c>
      <c r="AX8">
        <v>0.12837965721249206</v>
      </c>
      <c r="AY8">
        <v>0.20664017715712374</v>
      </c>
      <c r="AZ8">
        <v>1</v>
      </c>
      <c r="BA8" s="4">
        <v>0.85</v>
      </c>
      <c r="BB8">
        <v>1</v>
      </c>
      <c r="BC8">
        <v>0</v>
      </c>
      <c r="BD8">
        <v>1</v>
      </c>
      <c r="BE8">
        <v>0.14000000000000001</v>
      </c>
      <c r="BF8">
        <v>-3.8381578947368399E-2</v>
      </c>
      <c r="BG8">
        <v>8.4426873892513665</v>
      </c>
      <c r="BH8">
        <v>1.0975493606026777E-2</v>
      </c>
      <c r="BI8">
        <v>0.30694988951971075</v>
      </c>
      <c r="BJ8">
        <v>0.23025868918789966</v>
      </c>
      <c r="BK8">
        <v>4.7204899921264039</v>
      </c>
      <c r="BL8">
        <v>4.8501930930644335</v>
      </c>
      <c r="BM8">
        <v>4.7858199889563773</v>
      </c>
      <c r="BN8">
        <v>8.0665709552733258</v>
      </c>
      <c r="BO8">
        <v>1</v>
      </c>
      <c r="BP8">
        <v>1</v>
      </c>
      <c r="BQ8">
        <v>-2.8170876966696335E-2</v>
      </c>
      <c r="BR8">
        <v>1</v>
      </c>
      <c r="BS8">
        <v>0</v>
      </c>
      <c r="BT8">
        <v>0.47508009715096439</v>
      </c>
      <c r="BU8">
        <v>0</v>
      </c>
      <c r="BV8">
        <v>1</v>
      </c>
    </row>
    <row r="9" spans="1:74" x14ac:dyDescent="0.25">
      <c r="A9">
        <v>9</v>
      </c>
      <c r="B9">
        <v>2033</v>
      </c>
      <c r="C9">
        <v>3.6585960949386306E-2</v>
      </c>
      <c r="D9">
        <v>4.4583906608026386E-2</v>
      </c>
      <c r="E9">
        <v>1.0385315217391304</v>
      </c>
      <c r="F9">
        <v>1.002219230769231</v>
      </c>
      <c r="G9">
        <v>1.1066170673076925</v>
      </c>
      <c r="H9">
        <v>1.0437784158097061</v>
      </c>
      <c r="I9">
        <v>1.1302002623775873</v>
      </c>
      <c r="J9">
        <v>1.1259941477062771</v>
      </c>
      <c r="K9">
        <v>1.076280988668832</v>
      </c>
      <c r="L9">
        <v>0.75071695111559966</v>
      </c>
      <c r="M9">
        <v>1.0032631014336599</v>
      </c>
      <c r="N9">
        <v>0.965483255455858</v>
      </c>
      <c r="O9">
        <v>1</v>
      </c>
      <c r="P9">
        <v>1</v>
      </c>
      <c r="Q9">
        <v>0</v>
      </c>
      <c r="R9">
        <v>4.7389673904594684E-2</v>
      </c>
      <c r="S9">
        <v>0</v>
      </c>
      <c r="T9">
        <v>0</v>
      </c>
      <c r="U9">
        <v>0</v>
      </c>
      <c r="V9">
        <v>0</v>
      </c>
      <c r="W9">
        <v>-5.521460917862246</v>
      </c>
      <c r="X9">
        <v>1</v>
      </c>
      <c r="Y9">
        <v>0</v>
      </c>
      <c r="Z9">
        <v>1.1851071517546203</v>
      </c>
      <c r="AA9">
        <v>2.5721144839711529</v>
      </c>
      <c r="AB9">
        <v>0</v>
      </c>
      <c r="AC9">
        <v>0</v>
      </c>
      <c r="AD9">
        <v>1.40109850044738E-2</v>
      </c>
      <c r="AE9">
        <v>5.1714719451319197E-2</v>
      </c>
      <c r="AF9">
        <v>1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-0.08</v>
      </c>
      <c r="AO9">
        <v>0</v>
      </c>
      <c r="AP9">
        <v>0</v>
      </c>
      <c r="AQ9">
        <v>0</v>
      </c>
      <c r="AR9">
        <v>0</v>
      </c>
      <c r="AS9">
        <v>0</v>
      </c>
      <c r="AT9">
        <v>0.105486107527878</v>
      </c>
      <c r="AU9">
        <v>0</v>
      </c>
      <c r="AV9">
        <v>0</v>
      </c>
      <c r="AW9">
        <v>0</v>
      </c>
      <c r="AX9">
        <v>0.13509138114138203</v>
      </c>
      <c r="AY9">
        <v>0.2219742368666118</v>
      </c>
      <c r="AZ9">
        <v>1</v>
      </c>
      <c r="BA9" s="4">
        <v>0.85</v>
      </c>
      <c r="BB9">
        <v>1</v>
      </c>
      <c r="BC9">
        <v>0</v>
      </c>
      <c r="BD9">
        <v>1</v>
      </c>
      <c r="BE9">
        <v>0.14000000000000001</v>
      </c>
      <c r="BF9">
        <v>-3.8381578947368399E-2</v>
      </c>
      <c r="BG9">
        <v>8.8908853363468676</v>
      </c>
      <c r="BH9">
        <v>1.1558150937250928E-2</v>
      </c>
      <c r="BI9">
        <v>0.32873821462585379</v>
      </c>
      <c r="BJ9">
        <v>0.24944180428267063</v>
      </c>
      <c r="BK9">
        <v>5.0448887643582569</v>
      </c>
      <c r="BL9">
        <v>5.2542623173926772</v>
      </c>
      <c r="BM9">
        <v>5.1503478741027058</v>
      </c>
      <c r="BN9">
        <v>8.4310988404196596</v>
      </c>
      <c r="BO9">
        <v>1</v>
      </c>
      <c r="BP9">
        <v>1</v>
      </c>
      <c r="BQ9">
        <v>-4.2559614418795889E-2</v>
      </c>
      <c r="BR9">
        <v>1</v>
      </c>
      <c r="BS9">
        <v>0</v>
      </c>
      <c r="BT9">
        <v>0.54322040082674306</v>
      </c>
      <c r="BU9">
        <v>0</v>
      </c>
      <c r="BV9">
        <v>1</v>
      </c>
    </row>
    <row r="10" spans="1:74" x14ac:dyDescent="0.25">
      <c r="A10">
        <v>10</v>
      </c>
      <c r="B10">
        <v>2034</v>
      </c>
      <c r="C10">
        <v>3.6866583934250276E-2</v>
      </c>
      <c r="D10">
        <v>5.6144729009102688E-2</v>
      </c>
      <c r="E10">
        <v>1.0322937784090913</v>
      </c>
      <c r="F10">
        <v>0.99132973958333348</v>
      </c>
      <c r="G10">
        <v>1.1018553537735851</v>
      </c>
      <c r="H10">
        <v>1.0379771471672361</v>
      </c>
      <c r="I10">
        <v>1.1239955471373506</v>
      </c>
      <c r="J10">
        <v>1.1118959170107015</v>
      </c>
      <c r="K10">
        <v>1.0708746038180768</v>
      </c>
      <c r="L10">
        <v>0.66794002917617024</v>
      </c>
      <c r="M10">
        <v>1.0032524882346388</v>
      </c>
      <c r="N10">
        <v>0.96424925616359358</v>
      </c>
      <c r="O10">
        <v>1</v>
      </c>
      <c r="P10">
        <v>1</v>
      </c>
      <c r="Q10">
        <v>0</v>
      </c>
      <c r="R10">
        <v>6.5676793843396251E-3</v>
      </c>
      <c r="S10">
        <v>0</v>
      </c>
      <c r="T10">
        <v>0</v>
      </c>
      <c r="U10">
        <v>0</v>
      </c>
      <c r="V10">
        <v>0</v>
      </c>
      <c r="W10">
        <v>-5.521460917862246</v>
      </c>
      <c r="X10">
        <v>1</v>
      </c>
      <c r="Y10">
        <v>0</v>
      </c>
      <c r="Z10">
        <v>1.207189804827884</v>
      </c>
      <c r="AA10">
        <v>2.5940739658673313</v>
      </c>
      <c r="AB10">
        <v>0</v>
      </c>
      <c r="AC10">
        <v>0</v>
      </c>
      <c r="AD10">
        <v>1.30909081290607E-2</v>
      </c>
      <c r="AE10">
        <v>4.94558144225744E-2</v>
      </c>
      <c r="AF10">
        <v>1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-0.08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0.10850893895244261</v>
      </c>
      <c r="AU10">
        <v>0</v>
      </c>
      <c r="AV10">
        <v>0</v>
      </c>
      <c r="AW10">
        <v>0</v>
      </c>
      <c r="AX10">
        <v>0.14116275057534838</v>
      </c>
      <c r="AY10">
        <v>0.23688730857410817</v>
      </c>
      <c r="AZ10">
        <v>1</v>
      </c>
      <c r="BA10" s="4">
        <v>0.85</v>
      </c>
      <c r="BB10">
        <v>1</v>
      </c>
      <c r="BC10">
        <v>0</v>
      </c>
      <c r="BD10">
        <v>1</v>
      </c>
      <c r="BE10">
        <v>0.14000000000000001</v>
      </c>
      <c r="BF10">
        <v>-3.8381578947368399E-2</v>
      </c>
      <c r="BG10">
        <v>9.3439864748613921</v>
      </c>
      <c r="BH10">
        <v>1.2147182417319808E-2</v>
      </c>
      <c r="BI10">
        <v>0.35022299907568194</v>
      </c>
      <c r="BJ10">
        <v>0.26884556299127987</v>
      </c>
      <c r="BK10">
        <v>5.3643114602570794</v>
      </c>
      <c r="BL10">
        <v>5.6632347331395492</v>
      </c>
      <c r="BM10">
        <v>5.5148757592490334</v>
      </c>
      <c r="BN10">
        <v>8.7956267255659792</v>
      </c>
      <c r="BO10">
        <v>1</v>
      </c>
      <c r="BP10">
        <v>1</v>
      </c>
      <c r="BQ10">
        <v>-5.7158413839948637E-2</v>
      </c>
      <c r="BR10">
        <v>1</v>
      </c>
      <c r="BS10">
        <v>0</v>
      </c>
      <c r="BT10">
        <v>0.61142831892488558</v>
      </c>
      <c r="BU10">
        <v>0</v>
      </c>
      <c r="BV10">
        <v>1</v>
      </c>
    </row>
    <row r="11" spans="1:74" x14ac:dyDescent="0.25">
      <c r="A11">
        <v>11</v>
      </c>
      <c r="B11">
        <v>2035</v>
      </c>
      <c r="C11">
        <v>3.7147128191946537E-2</v>
      </c>
      <c r="D11">
        <v>6.7573424832725548E-2</v>
      </c>
      <c r="E11">
        <v>1.0260743750000001</v>
      </c>
      <c r="F11">
        <v>0.97943463068181846</v>
      </c>
      <c r="G11">
        <v>1.0973295399305556</v>
      </c>
      <c r="H11">
        <v>1.0322543905895101</v>
      </c>
      <c r="I11">
        <v>1.1181584751561551</v>
      </c>
      <c r="J11">
        <v>1.1006352440896898</v>
      </c>
      <c r="K11">
        <v>1.0661838496920015</v>
      </c>
      <c r="L11">
        <v>0.50285960367820914</v>
      </c>
      <c r="M11">
        <v>1.0032419438504077</v>
      </c>
      <c r="N11">
        <v>0.96292375274558595</v>
      </c>
      <c r="O11">
        <v>1</v>
      </c>
      <c r="P11">
        <v>1</v>
      </c>
      <c r="Q11">
        <v>0</v>
      </c>
      <c r="R11">
        <v>-4.4725615003210609E-2</v>
      </c>
      <c r="S11">
        <v>0</v>
      </c>
      <c r="T11">
        <v>0</v>
      </c>
      <c r="U11">
        <v>0</v>
      </c>
      <c r="V11">
        <v>-1.656409061990002E-2</v>
      </c>
      <c r="W11">
        <v>-5.521460917862246</v>
      </c>
      <c r="X11">
        <v>1</v>
      </c>
      <c r="Y11">
        <v>0</v>
      </c>
      <c r="Z11">
        <v>1.2287948647751661</v>
      </c>
      <c r="AA11">
        <v>2.6155620135951541</v>
      </c>
      <c r="AB11">
        <v>0</v>
      </c>
      <c r="AC11">
        <v>0</v>
      </c>
      <c r="AD11">
        <v>1.22761766175274E-2</v>
      </c>
      <c r="AE11">
        <v>4.74224042526609E-2</v>
      </c>
      <c r="AF11">
        <v>1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-0.08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0.11281813040263486</v>
      </c>
      <c r="AU11">
        <v>0</v>
      </c>
      <c r="AV11">
        <v>0</v>
      </c>
      <c r="AW11">
        <v>0</v>
      </c>
      <c r="AX11">
        <v>0.14663882938085887</v>
      </c>
      <c r="AY11">
        <v>0.2513941006551057</v>
      </c>
      <c r="AZ11">
        <v>1</v>
      </c>
      <c r="BA11" s="4">
        <v>0.85</v>
      </c>
      <c r="BB11">
        <v>1</v>
      </c>
      <c r="BC11">
        <v>0</v>
      </c>
      <c r="BD11">
        <v>1</v>
      </c>
      <c r="BE11">
        <v>0.14000000000000001</v>
      </c>
      <c r="BF11">
        <v>-3.8381578947368399E-2</v>
      </c>
      <c r="BG11">
        <v>9.801990804794114</v>
      </c>
      <c r="BH11">
        <v>1.2742588046232347E-2</v>
      </c>
      <c r="BI11">
        <v>0.37140424286919804</v>
      </c>
      <c r="BJ11">
        <v>0.28846996531372543</v>
      </c>
      <c r="BK11">
        <v>5.6787580798229165</v>
      </c>
      <c r="BL11">
        <v>6.0771103403050057</v>
      </c>
      <c r="BM11">
        <v>5.8794036443953619</v>
      </c>
      <c r="BN11">
        <v>9.1601546107123166</v>
      </c>
      <c r="BO11">
        <v>1</v>
      </c>
      <c r="BP11">
        <v>1</v>
      </c>
      <c r="BQ11">
        <v>-7.1973499625089227E-2</v>
      </c>
      <c r="BR11">
        <v>1</v>
      </c>
      <c r="BS11">
        <v>0</v>
      </c>
      <c r="BT11">
        <v>0.67970422759671867</v>
      </c>
      <c r="BU11">
        <v>0</v>
      </c>
      <c r="BV11">
        <v>1</v>
      </c>
    </row>
    <row r="12" spans="1:74" x14ac:dyDescent="0.25">
      <c r="A12">
        <v>12</v>
      </c>
      <c r="B12">
        <v>2036</v>
      </c>
      <c r="C12">
        <v>3.6585960949386091E-2</v>
      </c>
      <c r="D12">
        <v>7.9434620090189853E-2</v>
      </c>
      <c r="E12">
        <v>1.02125</v>
      </c>
      <c r="F12">
        <v>0.9943749999999999</v>
      </c>
      <c r="G12">
        <v>1.0789090909090908</v>
      </c>
      <c r="H12">
        <v>1.0728687224181794</v>
      </c>
      <c r="I12">
        <v>1.0869515802700587</v>
      </c>
      <c r="J12">
        <v>0.86513973018940205</v>
      </c>
      <c r="K12">
        <v>0.88620283938886313</v>
      </c>
      <c r="L12">
        <v>2.4343616189139987</v>
      </c>
      <c r="M12">
        <v>0.98271363721571137</v>
      </c>
      <c r="N12">
        <v>1.0689013708438915</v>
      </c>
      <c r="O12">
        <v>1</v>
      </c>
      <c r="P12">
        <v>1</v>
      </c>
      <c r="Q12">
        <v>0</v>
      </c>
      <c r="R12">
        <v>-0.10660101872129805</v>
      </c>
      <c r="S12">
        <v>0</v>
      </c>
      <c r="T12">
        <v>0</v>
      </c>
      <c r="U12">
        <v>0</v>
      </c>
      <c r="V12">
        <v>-3.3128181239799923E-2</v>
      </c>
      <c r="W12">
        <v>-5.521460917862246</v>
      </c>
      <c r="X12">
        <v>1</v>
      </c>
      <c r="Y12">
        <v>0</v>
      </c>
      <c r="Z12">
        <v>1.2513349667869451</v>
      </c>
      <c r="AA12">
        <v>2.6379908116604449</v>
      </c>
      <c r="AB12">
        <v>0</v>
      </c>
      <c r="AC12">
        <v>0</v>
      </c>
      <c r="AD12">
        <v>1.15364128715639E-2</v>
      </c>
      <c r="AE12">
        <v>4.5216730128238E-2</v>
      </c>
      <c r="AF12">
        <v>1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-0.08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0.11847478107972066</v>
      </c>
      <c r="AU12">
        <v>0</v>
      </c>
      <c r="AV12">
        <v>0</v>
      </c>
      <c r="AW12">
        <v>0</v>
      </c>
      <c r="AX12">
        <v>0.16149368321480231</v>
      </c>
      <c r="AY12">
        <v>0.27485225250843226</v>
      </c>
      <c r="AZ12">
        <v>1</v>
      </c>
      <c r="BA12" s="4">
        <v>0.85</v>
      </c>
      <c r="BB12">
        <v>1</v>
      </c>
      <c r="BC12">
        <v>0</v>
      </c>
      <c r="BD12">
        <v>1</v>
      </c>
      <c r="BE12">
        <v>0.14000000000000001</v>
      </c>
      <c r="BF12">
        <v>-3.8381578947368399E-2</v>
      </c>
      <c r="BG12">
        <v>14.469507531271564</v>
      </c>
      <c r="BH12">
        <v>1.8810359790653031E-2</v>
      </c>
      <c r="BI12">
        <v>0.4159256351120254</v>
      </c>
      <c r="BJ12">
        <v>0.32723575267307498</v>
      </c>
      <c r="BK12">
        <v>6.3758300838036925</v>
      </c>
      <c r="BL12">
        <v>6.9163500594016618</v>
      </c>
      <c r="BM12">
        <v>6.6480839315295421</v>
      </c>
      <c r="BN12">
        <v>13.566206515737163</v>
      </c>
      <c r="BO12">
        <v>1</v>
      </c>
      <c r="BP12">
        <v>1</v>
      </c>
      <c r="BQ12">
        <v>-8.701137698962981E-2</v>
      </c>
      <c r="BR12">
        <v>1</v>
      </c>
      <c r="BS12">
        <v>0</v>
      </c>
      <c r="BT12">
        <v>0.74804815942090075</v>
      </c>
      <c r="BU12">
        <v>0</v>
      </c>
      <c r="BV12">
        <v>1</v>
      </c>
    </row>
    <row r="13" spans="1:74" x14ac:dyDescent="0.25">
      <c r="A13">
        <v>13</v>
      </c>
      <c r="B13">
        <v>2037</v>
      </c>
      <c r="C13">
        <v>3.6024478621328009E-2</v>
      </c>
      <c r="D13">
        <v>9.1156774968811333E-2</v>
      </c>
      <c r="E13">
        <v>1.0184210526315789</v>
      </c>
      <c r="F13">
        <v>0.98783783783783774</v>
      </c>
      <c r="G13">
        <v>1.0788949275362318</v>
      </c>
      <c r="H13">
        <v>1.0728644885878551</v>
      </c>
      <c r="I13">
        <v>1.0868201666233568</v>
      </c>
      <c r="J13">
        <v>0.8441173545675984</v>
      </c>
      <c r="K13">
        <v>0.8715901647419535</v>
      </c>
      <c r="L13">
        <v>1.5892146868277879</v>
      </c>
      <c r="M13">
        <v>0.98240956253210709</v>
      </c>
      <c r="N13">
        <v>1.0644599892219186</v>
      </c>
      <c r="O13">
        <v>1</v>
      </c>
      <c r="P13">
        <v>1</v>
      </c>
      <c r="Q13">
        <v>0</v>
      </c>
      <c r="R13">
        <v>-0.17917171155613346</v>
      </c>
      <c r="S13">
        <v>0</v>
      </c>
      <c r="T13">
        <v>0</v>
      </c>
      <c r="U13">
        <v>0</v>
      </c>
      <c r="V13">
        <v>-4.9692271859699974E-2</v>
      </c>
      <c r="W13">
        <v>-5.521460917862246</v>
      </c>
      <c r="X13">
        <v>1</v>
      </c>
      <c r="Y13">
        <v>0</v>
      </c>
      <c r="Z13">
        <v>1.2754870166414327</v>
      </c>
      <c r="AA13">
        <v>2.654581522154964</v>
      </c>
      <c r="AB13">
        <v>0</v>
      </c>
      <c r="AC13">
        <v>0</v>
      </c>
      <c r="AD13">
        <v>1.08401177339837E-2</v>
      </c>
      <c r="AE13">
        <v>4.3195186342304702E-2</v>
      </c>
      <c r="AF13">
        <v>1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-0.08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0.1259041049909653</v>
      </c>
      <c r="AU13">
        <v>0</v>
      </c>
      <c r="AV13">
        <v>0</v>
      </c>
      <c r="AW13">
        <v>0</v>
      </c>
      <c r="AX13">
        <v>0.17502993088297236</v>
      </c>
      <c r="AY13">
        <v>0.29751056019428407</v>
      </c>
      <c r="AZ13">
        <v>1</v>
      </c>
      <c r="BA13" s="4">
        <v>0.85</v>
      </c>
      <c r="BB13">
        <v>1</v>
      </c>
      <c r="BC13">
        <v>0</v>
      </c>
      <c r="BD13">
        <v>1</v>
      </c>
      <c r="BE13">
        <v>0.14000000000000001</v>
      </c>
      <c r="BF13">
        <v>-3.8381578947368399E-2</v>
      </c>
      <c r="BG13">
        <v>15.412140892970161</v>
      </c>
      <c r="BH13">
        <v>2.0035783160861208E-2</v>
      </c>
      <c r="BI13">
        <v>0.45980695089332735</v>
      </c>
      <c r="BJ13">
        <v>0.36646681142413323</v>
      </c>
      <c r="BK13">
        <v>7.0624090310381504</v>
      </c>
      <c r="BL13">
        <v>7.7659291427585115</v>
      </c>
      <c r="BM13">
        <v>7.4167642186637224</v>
      </c>
      <c r="BN13">
        <v>14.334886802871347</v>
      </c>
      <c r="BO13">
        <v>1</v>
      </c>
      <c r="BP13">
        <v>1</v>
      </c>
      <c r="BQ13">
        <v>-0.10227884912041818</v>
      </c>
      <c r="BR13">
        <v>1</v>
      </c>
      <c r="BS13">
        <v>0</v>
      </c>
      <c r="BT13">
        <v>0.81646023079441621</v>
      </c>
      <c r="BU13">
        <v>0</v>
      </c>
      <c r="BV13">
        <v>1</v>
      </c>
    </row>
    <row r="14" spans="1:74" x14ac:dyDescent="0.25">
      <c r="A14">
        <v>14</v>
      </c>
      <c r="B14">
        <v>2038</v>
      </c>
      <c r="C14">
        <v>3.5462680853742774E-2</v>
      </c>
      <c r="D14">
        <v>0.10274311147919125</v>
      </c>
      <c r="E14">
        <v>1.0152777777777777</v>
      </c>
      <c r="F14">
        <v>0.9801470588235297</v>
      </c>
      <c r="G14">
        <v>1.0788808664259928</v>
      </c>
      <c r="H14">
        <v>1.0728602379028529</v>
      </c>
      <c r="I14">
        <v>1.0866916114646519</v>
      </c>
      <c r="J14">
        <v>0.81533059995875456</v>
      </c>
      <c r="K14">
        <v>0.8526717711459445</v>
      </c>
      <c r="L14">
        <v>1.3707583951441531</v>
      </c>
      <c r="M14">
        <v>0.98209459869002658</v>
      </c>
      <c r="N14">
        <v>1.0605565168015723</v>
      </c>
      <c r="O14">
        <v>1</v>
      </c>
      <c r="P14">
        <v>1</v>
      </c>
      <c r="Q14">
        <v>0</v>
      </c>
      <c r="R14">
        <v>-0.26255332049518443</v>
      </c>
      <c r="S14">
        <v>0</v>
      </c>
      <c r="T14">
        <v>0</v>
      </c>
      <c r="U14">
        <v>0</v>
      </c>
      <c r="V14">
        <v>-6.6256362479599873E-2</v>
      </c>
      <c r="W14">
        <v>-5.521460917862246</v>
      </c>
      <c r="X14">
        <v>1</v>
      </c>
      <c r="Y14">
        <v>0</v>
      </c>
      <c r="Z14">
        <v>1.2990694747576343</v>
      </c>
      <c r="AA14">
        <v>2.6782365612870493</v>
      </c>
      <c r="AB14">
        <v>0</v>
      </c>
      <c r="AC14">
        <v>0</v>
      </c>
      <c r="AD14">
        <v>1.01848266146034E-2</v>
      </c>
      <c r="AE14">
        <v>4.1390585725679503E-2</v>
      </c>
      <c r="AF14">
        <v>1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-0.08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0.13509334648938487</v>
      </c>
      <c r="AU14">
        <v>0</v>
      </c>
      <c r="AV14">
        <v>0</v>
      </c>
      <c r="AW14">
        <v>0</v>
      </c>
      <c r="AX14">
        <v>0.1873112506462572</v>
      </c>
      <c r="AY14">
        <v>0.31938094888394764</v>
      </c>
      <c r="AZ14">
        <v>1</v>
      </c>
      <c r="BA14" s="4">
        <v>0.85</v>
      </c>
      <c r="BB14">
        <v>1</v>
      </c>
      <c r="BC14">
        <v>0</v>
      </c>
      <c r="BD14">
        <v>1</v>
      </c>
      <c r="BE14">
        <v>0.14000000000000001</v>
      </c>
      <c r="BF14">
        <v>-3.8381578947368399E-2</v>
      </c>
      <c r="BG14">
        <v>16.365113618928948</v>
      </c>
      <c r="BH14">
        <v>2.127464770460763E-2</v>
      </c>
      <c r="BI14">
        <v>0.50304819021310387</v>
      </c>
      <c r="BJ14">
        <v>0.40616314156690014</v>
      </c>
      <c r="BK14">
        <v>7.738494921526291</v>
      </c>
      <c r="BL14">
        <v>8.6258475903755532</v>
      </c>
      <c r="BM14">
        <v>8.1854445057979017</v>
      </c>
      <c r="BN14">
        <v>15.103567090005514</v>
      </c>
      <c r="BO14">
        <v>1</v>
      </c>
      <c r="BP14">
        <v>1</v>
      </c>
      <c r="BQ14">
        <v>-0.11778303565638351</v>
      </c>
      <c r="BR14">
        <v>1</v>
      </c>
      <c r="BS14">
        <v>0</v>
      </c>
      <c r="BT14">
        <v>0.88493999307285987</v>
      </c>
      <c r="BU14">
        <v>0</v>
      </c>
      <c r="BV14">
        <v>1</v>
      </c>
    </row>
    <row r="15" spans="1:74" x14ac:dyDescent="0.25">
      <c r="A15">
        <v>15</v>
      </c>
      <c r="B15">
        <v>2039</v>
      </c>
      <c r="C15">
        <v>3.4900567292005538E-2</v>
      </c>
      <c r="D15">
        <v>0.11419674091706747</v>
      </c>
      <c r="E15">
        <v>1.0117647058823529</v>
      </c>
      <c r="F15">
        <v>0.97096774193548385</v>
      </c>
      <c r="G15">
        <v>1.07886690647482</v>
      </c>
      <c r="H15">
        <v>1.0728559702623244</v>
      </c>
      <c r="I15">
        <v>1.0865658225313444</v>
      </c>
      <c r="J15">
        <v>0.77350365600090643</v>
      </c>
      <c r="K15">
        <v>0.82721577770065702</v>
      </c>
      <c r="L15">
        <v>1.2704768370980228</v>
      </c>
      <c r="M15">
        <v>0.98176815010096108</v>
      </c>
      <c r="N15">
        <v>1.0570988116542803</v>
      </c>
      <c r="O15">
        <v>1</v>
      </c>
      <c r="P15">
        <v>1</v>
      </c>
      <c r="Q15">
        <v>0</v>
      </c>
      <c r="R15">
        <v>-0.35686399996642576</v>
      </c>
      <c r="S15">
        <v>0</v>
      </c>
      <c r="T15">
        <v>0</v>
      </c>
      <c r="U15">
        <v>0</v>
      </c>
      <c r="V15">
        <v>-8.2820453099499841E-2</v>
      </c>
      <c r="W15">
        <v>-5.521460917862246</v>
      </c>
      <c r="X15">
        <v>1</v>
      </c>
      <c r="Y15">
        <v>0</v>
      </c>
      <c r="Z15">
        <v>1.3221085893195723</v>
      </c>
      <c r="AA15">
        <v>2.7013449457789083</v>
      </c>
      <c r="AB15">
        <v>0</v>
      </c>
      <c r="AC15">
        <v>0</v>
      </c>
      <c r="AD15">
        <v>9.5682072362692702E-3</v>
      </c>
      <c r="AE15">
        <v>3.9627537451946998E-2</v>
      </c>
      <c r="AF15">
        <v>1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-0.08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0.14664951595017189</v>
      </c>
      <c r="AU15">
        <v>0</v>
      </c>
      <c r="AV15">
        <v>0</v>
      </c>
      <c r="AW15">
        <v>0</v>
      </c>
      <c r="AX15">
        <v>0.19840290111594255</v>
      </c>
      <c r="AY15">
        <v>0.34047702384282008</v>
      </c>
      <c r="AZ15">
        <v>1</v>
      </c>
      <c r="BA15" s="4">
        <v>0.85</v>
      </c>
      <c r="BB15">
        <v>1</v>
      </c>
      <c r="BC15">
        <v>0</v>
      </c>
      <c r="BD15">
        <v>1</v>
      </c>
      <c r="BE15">
        <v>0.14000000000000001</v>
      </c>
      <c r="BF15">
        <v>-3.8381578947368399E-2</v>
      </c>
      <c r="BG15">
        <v>17.328425709147702</v>
      </c>
      <c r="BH15">
        <v>2.2526953421892013E-2</v>
      </c>
      <c r="BI15">
        <v>0.54564935307135665</v>
      </c>
      <c r="BJ15">
        <v>0.44632474310137482</v>
      </c>
      <c r="BK15">
        <v>8.4040877552681383</v>
      </c>
      <c r="BL15">
        <v>9.496105402252768</v>
      </c>
      <c r="BM15">
        <v>8.9541247929320829</v>
      </c>
      <c r="BN15">
        <v>15.872247377139708</v>
      </c>
      <c r="BO15">
        <v>1</v>
      </c>
      <c r="BP15">
        <v>1</v>
      </c>
      <c r="BQ15">
        <v>-0.13353139262452263</v>
      </c>
      <c r="BR15">
        <v>1</v>
      </c>
      <c r="BS15">
        <v>0</v>
      </c>
      <c r="BT15">
        <v>0.95348747510453991</v>
      </c>
      <c r="BU15">
        <v>0</v>
      </c>
      <c r="BV15">
        <v>1</v>
      </c>
    </row>
    <row r="16" spans="1:74" x14ac:dyDescent="0.25">
      <c r="A16">
        <v>16</v>
      </c>
      <c r="B16">
        <v>2040</v>
      </c>
      <c r="C16">
        <v>3.4338137580891402E-2</v>
      </c>
      <c r="D16">
        <v>0.12552066887844415</v>
      </c>
      <c r="E16">
        <v>1.0078125</v>
      </c>
      <c r="F16">
        <v>0.95982142857142849</v>
      </c>
      <c r="G16">
        <v>1.0788530465949819</v>
      </c>
      <c r="H16">
        <v>1.0728516855646173</v>
      </c>
      <c r="I16">
        <v>1.0864427114891482</v>
      </c>
      <c r="J16">
        <v>0.70718128835989869</v>
      </c>
      <c r="K16">
        <v>0.79112557212143952</v>
      </c>
      <c r="L16">
        <v>1.2128939538290495</v>
      </c>
      <c r="M16">
        <v>0.98142957693507971</v>
      </c>
      <c r="N16">
        <v>1.054014639903837</v>
      </c>
      <c r="O16">
        <v>1</v>
      </c>
      <c r="P16">
        <v>1</v>
      </c>
      <c r="Q16">
        <v>0</v>
      </c>
      <c r="R16">
        <v>-0.46222451562425199</v>
      </c>
      <c r="S16">
        <v>0</v>
      </c>
      <c r="T16">
        <v>0</v>
      </c>
      <c r="U16">
        <v>0</v>
      </c>
      <c r="V16">
        <v>-9.9384543719399837E-2</v>
      </c>
      <c r="W16">
        <v>-5.521460917862246</v>
      </c>
      <c r="X16">
        <v>1</v>
      </c>
      <c r="Y16">
        <v>0</v>
      </c>
      <c r="Z16">
        <v>1.3446288349290885</v>
      </c>
      <c r="AA16">
        <v>2.7239313717532432</v>
      </c>
      <c r="AB16">
        <v>0</v>
      </c>
      <c r="AC16">
        <v>0</v>
      </c>
      <c r="AD16">
        <v>8.9880531689566293E-3</v>
      </c>
      <c r="AE16">
        <v>3.6099153439999601E-2</v>
      </c>
      <c r="AF16">
        <v>1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-0.08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0.16059242408804897</v>
      </c>
      <c r="AU16">
        <v>0</v>
      </c>
      <c r="AV16">
        <v>0</v>
      </c>
      <c r="AW16">
        <v>0</v>
      </c>
      <c r="AX16">
        <v>0.2083710666767343</v>
      </c>
      <c r="AY16">
        <v>0.36081395669506866</v>
      </c>
      <c r="AZ16">
        <v>1</v>
      </c>
      <c r="BA16" s="4">
        <v>0.85</v>
      </c>
      <c r="BB16">
        <v>1</v>
      </c>
      <c r="BC16">
        <v>0</v>
      </c>
      <c r="BD16">
        <v>1</v>
      </c>
      <c r="BE16">
        <v>0.14000000000000001</v>
      </c>
      <c r="BF16">
        <v>-3.8381578947368399E-2</v>
      </c>
      <c r="BG16">
        <v>18.302077163626844</v>
      </c>
      <c r="BH16">
        <v>2.3792700312714896E-2</v>
      </c>
      <c r="BI16">
        <v>0.58761043946808389</v>
      </c>
      <c r="BJ16">
        <v>0.48695161602755821</v>
      </c>
      <c r="BK16">
        <v>9.0591875322636675</v>
      </c>
      <c r="BL16">
        <v>10.376702578390177</v>
      </c>
      <c r="BM16">
        <v>9.7228050800662622</v>
      </c>
      <c r="BN16">
        <v>16.640927664273875</v>
      </c>
      <c r="BO16">
        <v>1</v>
      </c>
      <c r="BP16">
        <v>1</v>
      </c>
      <c r="BQ16">
        <v>-0.1495317339709637</v>
      </c>
      <c r="BR16">
        <v>1</v>
      </c>
      <c r="BS16">
        <v>0</v>
      </c>
      <c r="BT16">
        <v>1.0221033853022929</v>
      </c>
      <c r="BU16">
        <v>0</v>
      </c>
      <c r="BV16">
        <v>1</v>
      </c>
    </row>
    <row r="17" spans="1:74" x14ac:dyDescent="0.25">
      <c r="A17">
        <v>17</v>
      </c>
      <c r="B17">
        <v>2041</v>
      </c>
      <c r="C17">
        <v>3.2648947990046487E-2</v>
      </c>
      <c r="D17">
        <v>0.13565679193683688</v>
      </c>
      <c r="E17">
        <v>1.0033333333333332</v>
      </c>
      <c r="F17">
        <v>1.0534999999999999</v>
      </c>
      <c r="G17">
        <v>1.0826785714285714</v>
      </c>
      <c r="H17">
        <v>1.0584615384615383</v>
      </c>
      <c r="I17">
        <v>1.0919342906875544</v>
      </c>
      <c r="J17">
        <v>0.93333333333333324</v>
      </c>
      <c r="K17">
        <v>0.96</v>
      </c>
      <c r="L17">
        <v>1.0181818181818183</v>
      </c>
      <c r="M17">
        <v>0.98461538461538456</v>
      </c>
      <c r="N17">
        <v>1.0156521739130435</v>
      </c>
      <c r="O17">
        <v>1</v>
      </c>
      <c r="P17">
        <v>1</v>
      </c>
      <c r="Q17">
        <v>0</v>
      </c>
      <c r="R17">
        <v>-0.57875833188020342</v>
      </c>
      <c r="S17">
        <v>0</v>
      </c>
      <c r="T17">
        <v>0</v>
      </c>
      <c r="U17">
        <v>0</v>
      </c>
      <c r="V17">
        <v>-0.11594863433929982</v>
      </c>
      <c r="W17">
        <v>-5.521460917862246</v>
      </c>
      <c r="X17">
        <v>1</v>
      </c>
      <c r="Y17">
        <v>0</v>
      </c>
      <c r="Z17">
        <v>1.3666530688797309</v>
      </c>
      <c r="AA17">
        <v>2.6912530613493688</v>
      </c>
      <c r="AB17">
        <v>0</v>
      </c>
      <c r="AC17">
        <v>0</v>
      </c>
      <c r="AD17">
        <v>8.4422776220551502E-3</v>
      </c>
      <c r="AE17">
        <v>3.3272945205217598E-2</v>
      </c>
      <c r="AF17">
        <v>1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-0.08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0.17811739100241938</v>
      </c>
      <c r="AU17">
        <v>0</v>
      </c>
      <c r="AV17">
        <v>0</v>
      </c>
      <c r="AW17">
        <v>0</v>
      </c>
      <c r="AX17">
        <v>0.21896816286339829</v>
      </c>
      <c r="AY17">
        <v>0.38215554772990479</v>
      </c>
      <c r="AZ17">
        <v>1</v>
      </c>
      <c r="BA17" s="4">
        <v>0.85</v>
      </c>
      <c r="BB17">
        <v>1</v>
      </c>
      <c r="BC17">
        <v>0</v>
      </c>
      <c r="BD17">
        <v>1</v>
      </c>
      <c r="BE17">
        <v>0.14000000000000001</v>
      </c>
      <c r="BF17">
        <v>-3.8381578947368399E-2</v>
      </c>
      <c r="BG17">
        <v>20.178698455585149</v>
      </c>
      <c r="BH17">
        <v>2.6232307992260694E-2</v>
      </c>
      <c r="BI17">
        <v>0.63362077290951269</v>
      </c>
      <c r="BJ17">
        <v>0.53206059747493573</v>
      </c>
      <c r="BK17">
        <v>9.780668408352664</v>
      </c>
      <c r="BL17">
        <v>11.356902166109675</v>
      </c>
      <c r="BM17">
        <v>10.574599668691331</v>
      </c>
      <c r="BN17">
        <v>18.240750966316952</v>
      </c>
      <c r="BO17">
        <v>1</v>
      </c>
      <c r="BP17">
        <v>1</v>
      </c>
      <c r="BQ17">
        <v>-0.16579225484274407</v>
      </c>
      <c r="BR17">
        <v>1</v>
      </c>
      <c r="BS17">
        <v>0</v>
      </c>
      <c r="BT17">
        <v>1.0907867488468153</v>
      </c>
      <c r="BU17">
        <v>0</v>
      </c>
      <c r="BV17">
        <v>1</v>
      </c>
    </row>
    <row r="18" spans="1:74" x14ac:dyDescent="0.25">
      <c r="A18">
        <v>18</v>
      </c>
      <c r="B18">
        <v>2042</v>
      </c>
      <c r="C18">
        <v>3.0956900209022309E-2</v>
      </c>
      <c r="D18">
        <v>0.14569120409667749</v>
      </c>
      <c r="E18">
        <v>0.99821428571428583</v>
      </c>
      <c r="F18">
        <v>1.0530612244897959</v>
      </c>
      <c r="G18">
        <v>1.0826241134751771</v>
      </c>
      <c r="H18">
        <v>1.0582031250000001</v>
      </c>
      <c r="I18">
        <v>1.0916716648102132</v>
      </c>
      <c r="J18">
        <v>0.92857142857142871</v>
      </c>
      <c r="K18">
        <v>0.95833333333333348</v>
      </c>
      <c r="L18">
        <v>1.0178571428571428</v>
      </c>
      <c r="M18">
        <v>0.98437500000000011</v>
      </c>
      <c r="N18">
        <v>1.0154109589041096</v>
      </c>
      <c r="O18">
        <v>1</v>
      </c>
      <c r="P18">
        <v>1</v>
      </c>
      <c r="Q18">
        <v>0</v>
      </c>
      <c r="R18">
        <v>-0.70659170339008837</v>
      </c>
      <c r="S18">
        <v>0</v>
      </c>
      <c r="T18">
        <v>0</v>
      </c>
      <c r="U18">
        <v>0</v>
      </c>
      <c r="V18">
        <v>-0.13251272495919977</v>
      </c>
      <c r="W18">
        <v>-5.521460917862246</v>
      </c>
      <c r="X18">
        <v>1</v>
      </c>
      <c r="Y18">
        <v>0</v>
      </c>
      <c r="Z18">
        <v>1.388202670588996</v>
      </c>
      <c r="AA18">
        <v>2.7140659874858648</v>
      </c>
      <c r="AB18">
        <v>0</v>
      </c>
      <c r="AC18">
        <v>0</v>
      </c>
      <c r="AD18">
        <v>7.9289074902861405E-3</v>
      </c>
      <c r="AE18">
        <v>3.1778582383187502E-2</v>
      </c>
      <c r="AF18">
        <v>1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-0.08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0.18798385419880587</v>
      </c>
      <c r="AU18">
        <v>0</v>
      </c>
      <c r="AV18">
        <v>0</v>
      </c>
      <c r="AW18">
        <v>0</v>
      </c>
      <c r="AX18">
        <v>0.22843522970813745</v>
      </c>
      <c r="AY18">
        <v>0.40269750050624425</v>
      </c>
      <c r="AZ18">
        <v>1</v>
      </c>
      <c r="BA18" s="4">
        <v>0.85</v>
      </c>
      <c r="BB18">
        <v>1</v>
      </c>
      <c r="BC18">
        <v>0</v>
      </c>
      <c r="BD18">
        <v>1</v>
      </c>
      <c r="BE18">
        <v>0.14000000000000001</v>
      </c>
      <c r="BF18">
        <v>-3.8381578947368399E-2</v>
      </c>
      <c r="BG18">
        <v>21.273471223781044</v>
      </c>
      <c r="BH18">
        <v>2.7655512590915355E-2</v>
      </c>
      <c r="BI18">
        <v>0.67892182100128651</v>
      </c>
      <c r="BJ18">
        <v>0.57768515823445699</v>
      </c>
      <c r="BK18">
        <v>10.490521655758791</v>
      </c>
      <c r="BL18">
        <v>12.348559071876814</v>
      </c>
      <c r="BM18">
        <v>11.426394257316399</v>
      </c>
      <c r="BN18">
        <v>19.092545554942006</v>
      </c>
      <c r="BO18">
        <v>1</v>
      </c>
      <c r="BP18">
        <v>1</v>
      </c>
      <c r="BQ18">
        <v>-0.18232155679395459</v>
      </c>
      <c r="BR18">
        <v>1</v>
      </c>
      <c r="BS18">
        <v>0</v>
      </c>
      <c r="BT18">
        <v>1.1595383552415865</v>
      </c>
      <c r="BU18">
        <v>0</v>
      </c>
      <c r="BV18">
        <v>1</v>
      </c>
    </row>
    <row r="19" spans="1:74" x14ac:dyDescent="0.25">
      <c r="A19">
        <v>19</v>
      </c>
      <c r="B19">
        <v>2043</v>
      </c>
      <c r="C19">
        <v>2.9261984549030798E-2</v>
      </c>
      <c r="D19">
        <v>0.15562592633076608</v>
      </c>
      <c r="E19">
        <v>0.99230769230769222</v>
      </c>
      <c r="F19">
        <v>1.0526041666666666</v>
      </c>
      <c r="G19">
        <v>1.0825704225352113</v>
      </c>
      <c r="H19">
        <v>1.0579365079365075</v>
      </c>
      <c r="I19">
        <v>1.091417060411745</v>
      </c>
      <c r="J19">
        <v>0.92307692307692302</v>
      </c>
      <c r="K19">
        <v>0.95652173913043459</v>
      </c>
      <c r="L19">
        <v>1.0175438596491226</v>
      </c>
      <c r="M19">
        <v>0.98412698412698374</v>
      </c>
      <c r="N19">
        <v>1.0151770657672849</v>
      </c>
      <c r="O19">
        <v>1</v>
      </c>
      <c r="P19">
        <v>1</v>
      </c>
      <c r="Q19">
        <v>0</v>
      </c>
      <c r="R19">
        <v>-0.84585377072359569</v>
      </c>
      <c r="S19">
        <v>0</v>
      </c>
      <c r="T19">
        <v>0</v>
      </c>
      <c r="U19">
        <v>0</v>
      </c>
      <c r="V19">
        <v>-0.14907681557909974</v>
      </c>
      <c r="W19">
        <v>-5.521460917862246</v>
      </c>
      <c r="X19">
        <v>1</v>
      </c>
      <c r="Y19">
        <v>0</v>
      </c>
      <c r="Z19">
        <v>1.4092976663210022</v>
      </c>
      <c r="AA19">
        <v>2.7363700706453997</v>
      </c>
      <c r="AB19">
        <v>0</v>
      </c>
      <c r="AC19">
        <v>0</v>
      </c>
      <c r="AD19">
        <v>7.4460776480779504E-3</v>
      </c>
      <c r="AE19">
        <v>3.03307793779432E-2</v>
      </c>
      <c r="AF19">
        <v>1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-0.08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0.20009208983119869</v>
      </c>
      <c r="AU19">
        <v>0</v>
      </c>
      <c r="AV19">
        <v>0</v>
      </c>
      <c r="AW19">
        <v>0</v>
      </c>
      <c r="AX19">
        <v>0.23684145616245511</v>
      </c>
      <c r="AY19">
        <v>0.42245730914590091</v>
      </c>
      <c r="AZ19">
        <v>1</v>
      </c>
      <c r="BA19" s="4">
        <v>0.85</v>
      </c>
      <c r="BB19">
        <v>1</v>
      </c>
      <c r="BC19">
        <v>0</v>
      </c>
      <c r="BD19">
        <v>1</v>
      </c>
      <c r="BE19">
        <v>0.14000000000000001</v>
      </c>
      <c r="BF19">
        <v>-3.8381578947368399E-2</v>
      </c>
      <c r="BG19">
        <v>22.379701310024558</v>
      </c>
      <c r="BH19">
        <v>2.9093611703031923E-2</v>
      </c>
      <c r="BI19">
        <v>0.72351358374340535</v>
      </c>
      <c r="BJ19">
        <v>0.62382529830612166</v>
      </c>
      <c r="BK19">
        <v>11.188747274482051</v>
      </c>
      <c r="BL19">
        <v>13.351673295691583</v>
      </c>
      <c r="BM19">
        <v>12.278188845941468</v>
      </c>
      <c r="BN19">
        <v>19.944340143567079</v>
      </c>
      <c r="BO19">
        <v>1</v>
      </c>
      <c r="BP19">
        <v>1</v>
      </c>
      <c r="BQ19">
        <v>-0.19912867511033588</v>
      </c>
      <c r="BR19">
        <v>1</v>
      </c>
      <c r="BS19">
        <v>0</v>
      </c>
      <c r="BT19">
        <v>1.2283572718835276</v>
      </c>
      <c r="BU19">
        <v>0</v>
      </c>
      <c r="BV19">
        <v>1</v>
      </c>
    </row>
    <row r="20" spans="1:74" x14ac:dyDescent="0.25">
      <c r="A20">
        <v>20</v>
      </c>
      <c r="B20">
        <v>2044</v>
      </c>
      <c r="C20">
        <v>2.7564191271936673E-2</v>
      </c>
      <c r="D20">
        <v>0.16546291996953805</v>
      </c>
      <c r="E20">
        <v>0.98541666666666661</v>
      </c>
      <c r="F20">
        <v>1.052127659574468</v>
      </c>
      <c r="G20">
        <v>1.0825174825174824</v>
      </c>
      <c r="H20">
        <v>1.0576612903225808</v>
      </c>
      <c r="I20">
        <v>1.0911701155156652</v>
      </c>
      <c r="J20">
        <v>0.91666666666666663</v>
      </c>
      <c r="K20">
        <v>0.9545454545454547</v>
      </c>
      <c r="L20">
        <v>1.0172413793103448</v>
      </c>
      <c r="M20">
        <v>0.98387096774193561</v>
      </c>
      <c r="N20">
        <v>1.0149501661129567</v>
      </c>
      <c r="O20">
        <v>1</v>
      </c>
      <c r="P20">
        <v>1</v>
      </c>
      <c r="Q20">
        <v>0</v>
      </c>
      <c r="R20">
        <v>-0.99667666045817926</v>
      </c>
      <c r="S20">
        <v>0</v>
      </c>
      <c r="T20">
        <v>0</v>
      </c>
      <c r="U20">
        <v>0</v>
      </c>
      <c r="V20">
        <v>-0.16564090619899979</v>
      </c>
      <c r="W20">
        <v>-5.521460917862246</v>
      </c>
      <c r="X20">
        <v>1</v>
      </c>
      <c r="Y20">
        <v>0</v>
      </c>
      <c r="Z20">
        <v>1.429956841023426</v>
      </c>
      <c r="AA20">
        <v>2.7581875159569571</v>
      </c>
      <c r="AB20">
        <v>0</v>
      </c>
      <c r="AC20">
        <v>0</v>
      </c>
      <c r="AD20">
        <v>6.9920254867118902E-3</v>
      </c>
      <c r="AE20">
        <v>2.8930313275838001E-2</v>
      </c>
      <c r="AF20">
        <v>1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-0.08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0.21585480865820228</v>
      </c>
      <c r="AU20">
        <v>0</v>
      </c>
      <c r="AV20">
        <v>0</v>
      </c>
      <c r="AW20">
        <v>0</v>
      </c>
      <c r="AX20">
        <v>0.24425560530073562</v>
      </c>
      <c r="AY20">
        <v>0.44145393673853373</v>
      </c>
      <c r="AZ20">
        <v>1</v>
      </c>
      <c r="BA20" s="4">
        <v>0.85</v>
      </c>
      <c r="BB20">
        <v>1</v>
      </c>
      <c r="BC20">
        <v>0</v>
      </c>
      <c r="BD20">
        <v>1</v>
      </c>
      <c r="BE20">
        <v>0.14000000000000001</v>
      </c>
      <c r="BF20">
        <v>-3.8381578947368399E-2</v>
      </c>
      <c r="BG20">
        <v>23.497388714315868</v>
      </c>
      <c r="BH20">
        <v>3.0546605328610626E-2</v>
      </c>
      <c r="BI20">
        <v>0.76739606113586789</v>
      </c>
      <c r="BJ20">
        <v>0.67048101768993096</v>
      </c>
      <c r="BK20">
        <v>11.875345264522419</v>
      </c>
      <c r="BL20">
        <v>14.366244837554014</v>
      </c>
      <c r="BM20">
        <v>13.129983434566538</v>
      </c>
      <c r="BN20">
        <v>20.796134732192169</v>
      </c>
      <c r="BO20">
        <v>1</v>
      </c>
      <c r="BP20">
        <v>1</v>
      </c>
      <c r="BQ20">
        <v>-0.21622310846963594</v>
      </c>
      <c r="BR20">
        <v>1</v>
      </c>
      <c r="BS20">
        <v>0</v>
      </c>
      <c r="BT20">
        <v>1.2972442710025645</v>
      </c>
      <c r="BU20">
        <v>0</v>
      </c>
      <c r="BV20">
        <v>1</v>
      </c>
    </row>
    <row r="21" spans="1:74" x14ac:dyDescent="0.25">
      <c r="A21">
        <v>21</v>
      </c>
      <c r="B21">
        <v>2045</v>
      </c>
      <c r="C21">
        <v>2.5863510589919373E-2</v>
      </c>
      <c r="D21">
        <v>0.17520408902509096</v>
      </c>
      <c r="E21">
        <v>0.97727272727272729</v>
      </c>
      <c r="F21">
        <v>1.0516304347826086</v>
      </c>
      <c r="G21">
        <v>1.0824652777777777</v>
      </c>
      <c r="H21">
        <v>1.0573770491803278</v>
      </c>
      <c r="I21">
        <v>1.0909304896020959</v>
      </c>
      <c r="J21">
        <v>0.90909090909090917</v>
      </c>
      <c r="K21">
        <v>0.95238095238095233</v>
      </c>
      <c r="L21">
        <v>1.0169491525423728</v>
      </c>
      <c r="M21">
        <v>0.98360655737704916</v>
      </c>
      <c r="N21">
        <v>1.0147299509001637</v>
      </c>
      <c r="O21">
        <v>1</v>
      </c>
      <c r="P21">
        <v>1</v>
      </c>
      <c r="Q21">
        <v>0</v>
      </c>
      <c r="R21">
        <v>-1.1591955899559541</v>
      </c>
      <c r="S21">
        <v>0</v>
      </c>
      <c r="T21">
        <v>0</v>
      </c>
      <c r="U21">
        <v>0</v>
      </c>
      <c r="V21">
        <v>-0.18220499681889973</v>
      </c>
      <c r="W21">
        <v>-5.521460917862246</v>
      </c>
      <c r="X21">
        <v>1</v>
      </c>
      <c r="Y21">
        <v>0</v>
      </c>
      <c r="Z21">
        <v>1.4501978388438763</v>
      </c>
      <c r="AA21">
        <v>2.7795391060356884</v>
      </c>
      <c r="AB21">
        <v>0</v>
      </c>
      <c r="AC21">
        <v>0</v>
      </c>
      <c r="AD21">
        <v>6.5650856881364003E-3</v>
      </c>
      <c r="AE21">
        <v>2.75776261028522E-2</v>
      </c>
      <c r="AF21">
        <v>1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-0.08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0.23539062961984963</v>
      </c>
      <c r="AU21">
        <v>0</v>
      </c>
      <c r="AV21">
        <v>0</v>
      </c>
      <c r="AW21">
        <v>0</v>
      </c>
      <c r="AX21">
        <v>0.25074550151926217</v>
      </c>
      <c r="AY21">
        <v>0.45970766726296836</v>
      </c>
      <c r="AZ21">
        <v>1</v>
      </c>
      <c r="BA21" s="4">
        <v>0.85</v>
      </c>
      <c r="BB21">
        <v>1</v>
      </c>
      <c r="BC21">
        <v>0</v>
      </c>
      <c r="BD21">
        <v>1</v>
      </c>
      <c r="BE21">
        <v>0.14000000000000001</v>
      </c>
      <c r="BF21">
        <v>-3.8381578947368399E-2</v>
      </c>
      <c r="BG21">
        <v>24.62653343665469</v>
      </c>
      <c r="BH21">
        <v>3.2014493467651096E-2</v>
      </c>
      <c r="BI21">
        <v>0.81056925317867545</v>
      </c>
      <c r="BJ21">
        <v>0.717652316385884</v>
      </c>
      <c r="BK21">
        <v>12.550315625879922</v>
      </c>
      <c r="BL21">
        <v>15.392273697464081</v>
      </c>
      <c r="BM21">
        <v>13.981778023191607</v>
      </c>
      <c r="BN21">
        <v>21.647929320817223</v>
      </c>
      <c r="BO21">
        <v>1</v>
      </c>
      <c r="BP21">
        <v>1</v>
      </c>
      <c r="BQ21">
        <v>-0.23361485118150521</v>
      </c>
      <c r="BR21">
        <v>1</v>
      </c>
      <c r="BS21">
        <v>0</v>
      </c>
      <c r="BT21">
        <v>1.3661985358453841</v>
      </c>
      <c r="BU21">
        <v>0</v>
      </c>
      <c r="BV21">
        <v>1</v>
      </c>
    </row>
    <row r="22" spans="1:74" x14ac:dyDescent="0.25">
      <c r="A22">
        <v>22</v>
      </c>
      <c r="B22">
        <v>2046</v>
      </c>
      <c r="C22">
        <v>2.2453447609377328E-2</v>
      </c>
      <c r="D22">
        <v>0.18282801413575031</v>
      </c>
      <c r="E22">
        <v>0.96749999999999992</v>
      </c>
      <c r="F22">
        <v>1.0511111111111111</v>
      </c>
      <c r="G22">
        <v>1.0824137931034483</v>
      </c>
      <c r="H22">
        <v>1.0391666666666666</v>
      </c>
      <c r="I22">
        <v>1.0993707139975795</v>
      </c>
      <c r="J22">
        <v>0.89999999999999991</v>
      </c>
      <c r="K22">
        <v>0.95</v>
      </c>
      <c r="L22">
        <v>1.0333333333333334</v>
      </c>
      <c r="M22">
        <v>0.96666666666666667</v>
      </c>
      <c r="N22">
        <v>1.0217741935483871</v>
      </c>
      <c r="O22">
        <v>1</v>
      </c>
      <c r="P22">
        <v>1</v>
      </c>
      <c r="Q22">
        <v>0</v>
      </c>
      <c r="R22">
        <v>-1.3335489771007316</v>
      </c>
      <c r="S22">
        <v>0</v>
      </c>
      <c r="T22">
        <v>0</v>
      </c>
      <c r="U22">
        <v>0</v>
      </c>
      <c r="V22">
        <v>-0.1987690874387997</v>
      </c>
      <c r="W22">
        <v>-5.521460917862246</v>
      </c>
      <c r="X22">
        <v>1</v>
      </c>
      <c r="Y22">
        <v>0</v>
      </c>
      <c r="Z22">
        <v>1.4700372536736466</v>
      </c>
      <c r="AA22">
        <v>2.8004443199530309</v>
      </c>
      <c r="AB22">
        <v>0</v>
      </c>
      <c r="AC22">
        <v>0</v>
      </c>
      <c r="AD22">
        <v>6.1636852290157902E-3</v>
      </c>
      <c r="AE22">
        <v>2.62728677947381E-2</v>
      </c>
      <c r="AF22">
        <v>1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-0.08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0.26023427850429748</v>
      </c>
      <c r="AU22">
        <v>0</v>
      </c>
      <c r="AV22">
        <v>0</v>
      </c>
      <c r="AW22">
        <v>0</v>
      </c>
      <c r="AX22">
        <v>0.24650865833058086</v>
      </c>
      <c r="AY22">
        <v>0.46588583022705765</v>
      </c>
      <c r="AZ22">
        <v>1</v>
      </c>
      <c r="BA22" s="4">
        <v>0.85</v>
      </c>
      <c r="BB22">
        <v>1</v>
      </c>
      <c r="BC22">
        <v>0</v>
      </c>
      <c r="BD22">
        <v>1</v>
      </c>
      <c r="BE22">
        <v>0.14000000000000001</v>
      </c>
      <c r="BF22">
        <v>-3.8381578947368399E-2</v>
      </c>
      <c r="BG22">
        <v>19.039542800346894</v>
      </c>
      <c r="BH22">
        <v>2.475140564045096E-2</v>
      </c>
      <c r="BI22">
        <v>0.82002803487521592</v>
      </c>
      <c r="BJ22">
        <v>0.7350650273488567</v>
      </c>
      <c r="BK22">
        <v>12.672590735659272</v>
      </c>
      <c r="BL22">
        <v>15.757000607752362</v>
      </c>
      <c r="BM22">
        <v>14.226173384870238</v>
      </c>
      <c r="BN22">
        <v>16.425731639977919</v>
      </c>
      <c r="BO22">
        <v>1</v>
      </c>
      <c r="BP22">
        <v>1</v>
      </c>
      <c r="BQ22">
        <v>-0.25131442828090605</v>
      </c>
      <c r="BR22">
        <v>1</v>
      </c>
      <c r="BS22">
        <v>0</v>
      </c>
      <c r="BT22">
        <v>1.4352204684295875</v>
      </c>
      <c r="BU22">
        <v>0</v>
      </c>
      <c r="BV22">
        <v>1</v>
      </c>
    </row>
    <row r="23" spans="1:74" x14ac:dyDescent="0.25">
      <c r="A23">
        <v>23</v>
      </c>
      <c r="B23">
        <v>2047</v>
      </c>
      <c r="C23">
        <v>1.9031716298215918E-2</v>
      </c>
      <c r="D23">
        <v>0.19039425451906636</v>
      </c>
      <c r="E23">
        <v>0.9555555555555556</v>
      </c>
      <c r="F23">
        <v>1.050568181818182</v>
      </c>
      <c r="G23">
        <v>1.0823630136986302</v>
      </c>
      <c r="H23">
        <v>1.0379310344827586</v>
      </c>
      <c r="I23">
        <v>1.0988304670242979</v>
      </c>
      <c r="J23">
        <v>0.88888888888888895</v>
      </c>
      <c r="K23">
        <v>0.94736842105263153</v>
      </c>
      <c r="L23">
        <v>1.032258064516129</v>
      </c>
      <c r="M23">
        <v>0.96551724137931028</v>
      </c>
      <c r="N23">
        <v>1.021310181531176</v>
      </c>
      <c r="O23">
        <v>1</v>
      </c>
      <c r="P23">
        <v>1</v>
      </c>
      <c r="Q23">
        <v>0</v>
      </c>
      <c r="R23">
        <v>-1.3862943611198906</v>
      </c>
      <c r="S23">
        <v>0</v>
      </c>
      <c r="T23">
        <v>0</v>
      </c>
      <c r="U23">
        <v>0</v>
      </c>
      <c r="V23">
        <v>-0.21533317805869961</v>
      </c>
      <c r="W23">
        <v>-5.521460917862246</v>
      </c>
      <c r="X23">
        <v>1</v>
      </c>
      <c r="Y23">
        <v>0</v>
      </c>
      <c r="Z23">
        <v>1.4894907108829958</v>
      </c>
      <c r="AA23">
        <v>2.820921440023731</v>
      </c>
      <c r="AB23">
        <v>0</v>
      </c>
      <c r="AC23">
        <v>0</v>
      </c>
      <c r="AD23">
        <v>5.7863386083267E-3</v>
      </c>
      <c r="AE23">
        <v>2.50159348022366E-2</v>
      </c>
      <c r="AF23">
        <v>1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-0.08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0.29027429249506587</v>
      </c>
      <c r="AU23">
        <v>0</v>
      </c>
      <c r="AV23">
        <v>0</v>
      </c>
      <c r="AW23">
        <v>0</v>
      </c>
      <c r="AX23">
        <v>0.24245809118910303</v>
      </c>
      <c r="AY23">
        <v>0.47204118426400349</v>
      </c>
      <c r="AZ23">
        <v>1</v>
      </c>
      <c r="BA23" s="4">
        <v>0.85</v>
      </c>
      <c r="BB23">
        <v>1</v>
      </c>
      <c r="BC23">
        <v>0</v>
      </c>
      <c r="BD23">
        <v>1</v>
      </c>
      <c r="BE23">
        <v>0.14000000000000001</v>
      </c>
      <c r="BF23">
        <v>-3.8381578947368399E-2</v>
      </c>
      <c r="BG23">
        <v>19.437142840208104</v>
      </c>
      <c r="BH23">
        <v>2.5268285692270534E-2</v>
      </c>
      <c r="BI23">
        <v>0.8292833097029898</v>
      </c>
      <c r="BJ23">
        <v>0.75262566739490766</v>
      </c>
      <c r="BK23">
        <v>12.791529667262123</v>
      </c>
      <c r="BL23">
        <v>16.125014830997937</v>
      </c>
      <c r="BM23">
        <v>14.470568746548867</v>
      </c>
      <c r="BN23">
        <v>16.670127001656532</v>
      </c>
      <c r="BO23">
        <v>1</v>
      </c>
      <c r="BP23">
        <v>1</v>
      </c>
      <c r="BQ23">
        <v>-0.26933293378358447</v>
      </c>
      <c r="BR23">
        <v>1</v>
      </c>
      <c r="BS23">
        <v>0</v>
      </c>
      <c r="BT23">
        <v>1.5043098142096942</v>
      </c>
      <c r="BU23">
        <v>0</v>
      </c>
      <c r="BV23">
        <v>1</v>
      </c>
    </row>
    <row r="24" spans="1:74" x14ac:dyDescent="0.25">
      <c r="A24">
        <v>24</v>
      </c>
      <c r="B24">
        <v>2048</v>
      </c>
      <c r="C24">
        <v>1.5598236530324307E-2</v>
      </c>
      <c r="D24">
        <v>0.1979036765411975</v>
      </c>
      <c r="E24">
        <v>0.94062500000000004</v>
      </c>
      <c r="F24">
        <v>1.0499999999999998</v>
      </c>
      <c r="G24">
        <v>1.0823129251700678</v>
      </c>
      <c r="H24">
        <v>1.0366071428571431</v>
      </c>
      <c r="I24">
        <v>1.0983136528517401</v>
      </c>
      <c r="J24">
        <v>0.87500000000000011</v>
      </c>
      <c r="K24">
        <v>0.94444444444444442</v>
      </c>
      <c r="L24">
        <v>1.03125</v>
      </c>
      <c r="M24">
        <v>0.96428571428571441</v>
      </c>
      <c r="N24">
        <v>1.0208655332302938</v>
      </c>
      <c r="O24">
        <v>1</v>
      </c>
      <c r="P24">
        <v>1</v>
      </c>
      <c r="Q24">
        <v>0</v>
      </c>
      <c r="R24">
        <v>-1.3862943611198906</v>
      </c>
      <c r="S24">
        <v>0</v>
      </c>
      <c r="T24">
        <v>0</v>
      </c>
      <c r="U24">
        <v>0</v>
      </c>
      <c r="V24">
        <v>-0.23189726867859967</v>
      </c>
      <c r="W24">
        <v>-5.521460917862246</v>
      </c>
      <c r="X24">
        <v>1</v>
      </c>
      <c r="Y24">
        <v>0</v>
      </c>
      <c r="Z24">
        <v>1.5085729412567672</v>
      </c>
      <c r="AA24">
        <v>2.8409876478768878</v>
      </c>
      <c r="AB24">
        <v>0</v>
      </c>
      <c r="AC24">
        <v>0</v>
      </c>
      <c r="AD24">
        <v>5.4316432916271399E-3</v>
      </c>
      <c r="AE24">
        <v>2.3806504731267199E-2</v>
      </c>
      <c r="AF24">
        <v>1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-0.08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0.28635888432319906</v>
      </c>
      <c r="AU24">
        <v>0</v>
      </c>
      <c r="AV24">
        <v>0</v>
      </c>
      <c r="AW24">
        <v>0</v>
      </c>
      <c r="AX24">
        <v>0.23859310682806062</v>
      </c>
      <c r="AY24">
        <v>0.47817999536570482</v>
      </c>
      <c r="AZ24">
        <v>1</v>
      </c>
      <c r="BA24" s="4">
        <v>0.85</v>
      </c>
      <c r="BB24">
        <v>1</v>
      </c>
      <c r="BC24">
        <v>0</v>
      </c>
      <c r="BD24">
        <v>1</v>
      </c>
      <c r="BE24">
        <v>0.14000000000000001</v>
      </c>
      <c r="BF24">
        <v>-3.8381578947368399E-2</v>
      </c>
      <c r="BG24">
        <v>19.838030193026501</v>
      </c>
      <c r="BH24">
        <v>2.5789439250934451E-2</v>
      </c>
      <c r="BI24">
        <v>0.83833507766199722</v>
      </c>
      <c r="BJ24">
        <v>0.77033423652403621</v>
      </c>
      <c r="BK24">
        <v>12.907132420688475</v>
      </c>
      <c r="BL24">
        <v>16.496316367200794</v>
      </c>
      <c r="BM24">
        <v>14.714964108227498</v>
      </c>
      <c r="BN24">
        <v>16.91452236333518</v>
      </c>
      <c r="BO24">
        <v>1</v>
      </c>
      <c r="BP24">
        <v>1</v>
      </c>
      <c r="BQ24">
        <v>-0.2876820724517809</v>
      </c>
      <c r="BR24">
        <v>1</v>
      </c>
      <c r="BS24">
        <v>0</v>
      </c>
      <c r="BT24">
        <v>1.5734666341443346</v>
      </c>
      <c r="BU24">
        <v>0</v>
      </c>
      <c r="BV24">
        <v>1</v>
      </c>
    </row>
    <row r="25" spans="1:74" x14ac:dyDescent="0.25">
      <c r="A25">
        <v>25</v>
      </c>
      <c r="B25">
        <v>2049</v>
      </c>
      <c r="C25">
        <v>1.2152927351411538E-2</v>
      </c>
      <c r="D25">
        <v>0.20535712719577859</v>
      </c>
      <c r="E25">
        <v>0.92142857142857126</v>
      </c>
      <c r="F25">
        <v>1.0494047619047622</v>
      </c>
      <c r="G25">
        <v>1.0822635135135135</v>
      </c>
      <c r="H25">
        <v>1.035185185185185</v>
      </c>
      <c r="I25">
        <v>1.0978187792717933</v>
      </c>
      <c r="J25">
        <v>0.85714285714285698</v>
      </c>
      <c r="K25">
        <v>0.94117647058823539</v>
      </c>
      <c r="L25">
        <v>1.0303030303030303</v>
      </c>
      <c r="M25">
        <v>0.96296296296296291</v>
      </c>
      <c r="N25">
        <v>1.0204390613171839</v>
      </c>
      <c r="O25">
        <v>1</v>
      </c>
      <c r="P25">
        <v>1</v>
      </c>
      <c r="Q25">
        <v>0</v>
      </c>
      <c r="R25">
        <v>-1.3862943611198906</v>
      </c>
      <c r="S25">
        <v>0</v>
      </c>
      <c r="T25">
        <v>0</v>
      </c>
      <c r="U25">
        <v>0</v>
      </c>
      <c r="V25">
        <v>-0.24846135929849961</v>
      </c>
      <c r="W25">
        <v>-5.521460917862246</v>
      </c>
      <c r="X25">
        <v>1</v>
      </c>
      <c r="Y25">
        <v>0</v>
      </c>
      <c r="Z25">
        <v>1.5272978480066992</v>
      </c>
      <c r="AA25">
        <v>2.8606591110761186</v>
      </c>
      <c r="AB25">
        <v>0</v>
      </c>
      <c r="AC25">
        <v>0</v>
      </c>
      <c r="AD25">
        <v>5.0982753649944004E-3</v>
      </c>
      <c r="AE25">
        <v>2.2644067383439999E-2</v>
      </c>
      <c r="AF25">
        <v>1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-0.08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0.26836967235930581</v>
      </c>
      <c r="AU25">
        <v>0</v>
      </c>
      <c r="AV25">
        <v>0</v>
      </c>
      <c r="AW25">
        <v>0</v>
      </c>
      <c r="AX25">
        <v>0.23491256834877555</v>
      </c>
      <c r="AY25">
        <v>0.48430813163017683</v>
      </c>
      <c r="AZ25">
        <v>1</v>
      </c>
      <c r="BA25" s="4">
        <v>0.85</v>
      </c>
      <c r="BB25">
        <v>1</v>
      </c>
      <c r="BC25">
        <v>0</v>
      </c>
      <c r="BD25">
        <v>1</v>
      </c>
      <c r="BE25">
        <v>0.14000000000000001</v>
      </c>
      <c r="BF25">
        <v>-3.8381578947368399E-2</v>
      </c>
      <c r="BG25">
        <v>20.242204858801909</v>
      </c>
      <c r="BH25">
        <v>2.6314866316442479E-2</v>
      </c>
      <c r="BI25">
        <v>0.84718333875224072</v>
      </c>
      <c r="BJ25">
        <v>0.78819073473624124</v>
      </c>
      <c r="BK25">
        <v>13.019398995938367</v>
      </c>
      <c r="BL25">
        <v>16.870905216360907</v>
      </c>
      <c r="BM25">
        <v>14.959359469906129</v>
      </c>
      <c r="BN25">
        <v>17.158917725013811</v>
      </c>
      <c r="BO25">
        <v>1</v>
      </c>
      <c r="BP25">
        <v>1</v>
      </c>
      <c r="BQ25">
        <v>-0.3063742054639334</v>
      </c>
      <c r="BR25">
        <v>1</v>
      </c>
      <c r="BS25">
        <v>0</v>
      </c>
      <c r="BT25">
        <v>1.6426906603487994</v>
      </c>
      <c r="BU25">
        <v>0</v>
      </c>
      <c r="BV25">
        <v>1</v>
      </c>
    </row>
    <row r="26" spans="1:74" x14ac:dyDescent="0.25">
      <c r="A26">
        <v>26</v>
      </c>
      <c r="B26">
        <v>2050</v>
      </c>
      <c r="C26">
        <v>8.695706967553913E-3</v>
      </c>
      <c r="D26">
        <v>0.21275543467722335</v>
      </c>
      <c r="E26">
        <v>0.89583333333333337</v>
      </c>
      <c r="F26">
        <v>1.0487804878048781</v>
      </c>
      <c r="G26">
        <v>1.0822147651006711</v>
      </c>
      <c r="H26">
        <v>1.033653846153846</v>
      </c>
      <c r="I26">
        <v>1.0973444781418742</v>
      </c>
      <c r="J26">
        <v>0.83333333333333337</v>
      </c>
      <c r="K26">
        <v>0.9375</v>
      </c>
      <c r="L26">
        <v>1.0294117647058825</v>
      </c>
      <c r="M26">
        <v>0.96153846153846145</v>
      </c>
      <c r="N26">
        <v>1.0200296735905043</v>
      </c>
      <c r="O26">
        <v>1</v>
      </c>
      <c r="P26">
        <v>1</v>
      </c>
      <c r="Q26">
        <v>0</v>
      </c>
      <c r="R26">
        <v>-1.3862943611198906</v>
      </c>
      <c r="S26">
        <v>0</v>
      </c>
      <c r="T26">
        <v>0</v>
      </c>
      <c r="U26">
        <v>0</v>
      </c>
      <c r="V26">
        <v>-0.2650254499183996</v>
      </c>
      <c r="W26">
        <v>-5.521460917862246</v>
      </c>
      <c r="X26">
        <v>1</v>
      </c>
      <c r="Y26">
        <v>0</v>
      </c>
      <c r="Z26">
        <v>1.5456785676241873</v>
      </c>
      <c r="AA26">
        <v>2.8799510613829509</v>
      </c>
      <c r="AB26">
        <v>0</v>
      </c>
      <c r="AC26">
        <v>0</v>
      </c>
      <c r="AD26">
        <v>4.7022648102694299E-3</v>
      </c>
      <c r="AE26">
        <v>2.0130330437749699E-2</v>
      </c>
      <c r="AF26">
        <v>1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-0.08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0.25285948394206942</v>
      </c>
      <c r="AU26">
        <v>0</v>
      </c>
      <c r="AV26">
        <v>0</v>
      </c>
      <c r="AW26">
        <v>0</v>
      </c>
      <c r="AX26">
        <v>0.23141495042485999</v>
      </c>
      <c r="AY26">
        <v>0.49043108014036285</v>
      </c>
      <c r="AZ26">
        <v>1</v>
      </c>
      <c r="BA26" s="4">
        <v>0.85</v>
      </c>
      <c r="BB26">
        <v>1</v>
      </c>
      <c r="BC26">
        <v>0</v>
      </c>
      <c r="BD26">
        <v>1</v>
      </c>
      <c r="BE26">
        <v>0.14000000000000001</v>
      </c>
      <c r="BF26">
        <v>-3.8381578947368399E-2</v>
      </c>
      <c r="BG26">
        <v>20.649666837534681</v>
      </c>
      <c r="BH26">
        <v>2.6844566888795086E-2</v>
      </c>
      <c r="BI26">
        <v>0.85582809297371898</v>
      </c>
      <c r="BJ26">
        <v>0.80619516203152308</v>
      </c>
      <c r="BK26">
        <v>13.128329393011782</v>
      </c>
      <c r="BL26">
        <v>17.248781378478281</v>
      </c>
      <c r="BM26">
        <v>15.20375483158476</v>
      </c>
      <c r="BN26">
        <v>17.403313086692442</v>
      </c>
      <c r="BO26">
        <v>1</v>
      </c>
      <c r="BP26">
        <v>1</v>
      </c>
      <c r="BQ26">
        <v>-0.32542240043462795</v>
      </c>
      <c r="BR26">
        <v>1</v>
      </c>
      <c r="BS26">
        <v>0</v>
      </c>
      <c r="BT26">
        <v>1.7119816847925917</v>
      </c>
      <c r="BU26">
        <v>0</v>
      </c>
      <c r="BV26">
        <v>1</v>
      </c>
    </row>
    <row r="27" spans="1:74" x14ac:dyDescent="0.25">
      <c r="A27">
        <v>27</v>
      </c>
      <c r="B27">
        <f>B26+1</f>
        <v>2051</v>
      </c>
      <c r="C27">
        <f>C26</f>
        <v>8.695706967553913E-3</v>
      </c>
      <c r="D27">
        <f t="shared" ref="D27:BO27" si="0">D26</f>
        <v>0.21275543467722335</v>
      </c>
      <c r="E27">
        <f t="shared" si="0"/>
        <v>0.89583333333333337</v>
      </c>
      <c r="F27">
        <f t="shared" si="0"/>
        <v>1.0487804878048781</v>
      </c>
      <c r="G27">
        <f t="shared" si="0"/>
        <v>1.0822147651006711</v>
      </c>
      <c r="H27">
        <f t="shared" si="0"/>
        <v>1.033653846153846</v>
      </c>
      <c r="I27">
        <f t="shared" si="0"/>
        <v>1.0973444781418742</v>
      </c>
      <c r="J27">
        <f t="shared" si="0"/>
        <v>0.83333333333333337</v>
      </c>
      <c r="K27">
        <f t="shared" si="0"/>
        <v>0.9375</v>
      </c>
      <c r="L27">
        <f t="shared" si="0"/>
        <v>1.0294117647058825</v>
      </c>
      <c r="M27">
        <f t="shared" si="0"/>
        <v>0.96153846153846145</v>
      </c>
      <c r="N27">
        <f t="shared" si="0"/>
        <v>1.0200296735905043</v>
      </c>
      <c r="O27">
        <f t="shared" si="0"/>
        <v>1</v>
      </c>
      <c r="P27">
        <f t="shared" si="0"/>
        <v>1</v>
      </c>
      <c r="Q27">
        <f t="shared" si="0"/>
        <v>0</v>
      </c>
      <c r="R27">
        <f t="shared" si="0"/>
        <v>-1.3862943611198906</v>
      </c>
      <c r="S27">
        <f t="shared" si="0"/>
        <v>0</v>
      </c>
      <c r="T27">
        <f t="shared" si="0"/>
        <v>0</v>
      </c>
      <c r="U27">
        <f t="shared" si="0"/>
        <v>0</v>
      </c>
      <c r="V27">
        <f t="shared" si="0"/>
        <v>-0.2650254499183996</v>
      </c>
      <c r="W27">
        <f t="shared" si="0"/>
        <v>-5.521460917862246</v>
      </c>
      <c r="X27">
        <f t="shared" si="0"/>
        <v>1</v>
      </c>
      <c r="Y27">
        <f t="shared" si="0"/>
        <v>0</v>
      </c>
      <c r="Z27">
        <f t="shared" si="0"/>
        <v>1.5456785676241873</v>
      </c>
      <c r="AA27">
        <f t="shared" si="0"/>
        <v>2.8799510613829509</v>
      </c>
      <c r="AB27">
        <f t="shared" si="0"/>
        <v>0</v>
      </c>
      <c r="AC27">
        <f t="shared" si="0"/>
        <v>0</v>
      </c>
      <c r="AD27">
        <v>4.7022648102694299E-3</v>
      </c>
      <c r="AE27">
        <v>2.0130330437749699E-2</v>
      </c>
      <c r="AF27">
        <v>0</v>
      </c>
      <c r="AG27">
        <v>0</v>
      </c>
      <c r="AH27">
        <f t="shared" si="0"/>
        <v>0</v>
      </c>
      <c r="AI27">
        <f t="shared" si="0"/>
        <v>0</v>
      </c>
      <c r="AJ27">
        <f t="shared" si="0"/>
        <v>0</v>
      </c>
      <c r="AK27">
        <f t="shared" si="0"/>
        <v>0</v>
      </c>
      <c r="AL27">
        <f t="shared" si="0"/>
        <v>0</v>
      </c>
      <c r="AM27">
        <f t="shared" si="0"/>
        <v>0</v>
      </c>
      <c r="AN27">
        <v>-0.08</v>
      </c>
      <c r="AO27">
        <v>0</v>
      </c>
      <c r="AP27">
        <f t="shared" si="0"/>
        <v>0</v>
      </c>
      <c r="AQ27">
        <f t="shared" si="0"/>
        <v>0</v>
      </c>
      <c r="AR27">
        <f t="shared" si="0"/>
        <v>0</v>
      </c>
      <c r="AS27">
        <f t="shared" si="0"/>
        <v>0</v>
      </c>
      <c r="AT27">
        <f t="shared" si="0"/>
        <v>0.25285948394206942</v>
      </c>
      <c r="AU27">
        <f t="shared" si="0"/>
        <v>0</v>
      </c>
      <c r="AV27">
        <f t="shared" si="0"/>
        <v>0</v>
      </c>
      <c r="AW27">
        <f t="shared" si="0"/>
        <v>0</v>
      </c>
      <c r="AX27">
        <f t="shared" si="0"/>
        <v>0.23141495042485999</v>
      </c>
      <c r="AY27">
        <f t="shared" si="0"/>
        <v>0.49043108014036285</v>
      </c>
      <c r="AZ27">
        <v>0</v>
      </c>
      <c r="BA27" s="4">
        <v>0.5</v>
      </c>
      <c r="BB27">
        <v>0</v>
      </c>
      <c r="BC27">
        <v>0</v>
      </c>
      <c r="BD27">
        <v>0</v>
      </c>
      <c r="BE27">
        <f t="shared" si="0"/>
        <v>0.14000000000000001</v>
      </c>
      <c r="BF27">
        <f t="shared" si="0"/>
        <v>-3.8381578947368399E-2</v>
      </c>
      <c r="BG27">
        <f t="shared" si="0"/>
        <v>20.649666837534681</v>
      </c>
      <c r="BH27">
        <f t="shared" si="0"/>
        <v>2.6844566888795086E-2</v>
      </c>
      <c r="BI27">
        <f t="shared" si="0"/>
        <v>0.85582809297371898</v>
      </c>
      <c r="BJ27">
        <f t="shared" si="0"/>
        <v>0.80619516203152308</v>
      </c>
      <c r="BK27">
        <f t="shared" si="0"/>
        <v>13.128329393011782</v>
      </c>
      <c r="BL27">
        <f t="shared" si="0"/>
        <v>17.248781378478281</v>
      </c>
      <c r="BM27">
        <f t="shared" si="0"/>
        <v>15.20375483158476</v>
      </c>
      <c r="BN27">
        <f t="shared" si="0"/>
        <v>17.403313086692442</v>
      </c>
      <c r="BO27">
        <f t="shared" si="0"/>
        <v>1</v>
      </c>
      <c r="BP27">
        <f t="shared" ref="BP27:BV27" si="1">BP26</f>
        <v>1</v>
      </c>
      <c r="BQ27">
        <f t="shared" si="1"/>
        <v>-0.32542240043462795</v>
      </c>
      <c r="BR27">
        <f t="shared" si="1"/>
        <v>1</v>
      </c>
      <c r="BS27">
        <f t="shared" si="1"/>
        <v>0</v>
      </c>
      <c r="BT27">
        <f t="shared" si="1"/>
        <v>1.7119816847925917</v>
      </c>
      <c r="BU27">
        <f t="shared" si="1"/>
        <v>0</v>
      </c>
      <c r="BV27">
        <f t="shared" si="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</vt:lpstr>
      <vt:lpstr>Baseline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Schult, Christoph</cp:lastModifiedBy>
  <dcterms:modified xsi:type="dcterms:W3CDTF">2026-07-19T04:52:29Z</dcterms:modified>
</cp:coreProperties>
</file>