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hul\Documents\GitHub\DGE-METRIC\ExcelFiles\"/>
    </mc:Choice>
  </mc:AlternateContent>
  <xr:revisionPtr revIDLastSave="0" documentId="13_ncr:1_{FDB5912F-0077-4E38-84DD-DF87E1F5487D}" xr6:coauthVersionLast="47" xr6:coauthVersionMax="47" xr10:uidLastSave="{00000000-0000-0000-0000-000000000000}"/>
  <bookViews>
    <workbookView xWindow="-120" yWindow="-120" windowWidth="38640" windowHeight="21120" firstSheet="7" activeTab="18" xr2:uid="{00000000-000D-0000-FFFF-FFFF00000000}"/>
  </bookViews>
  <sheets>
    <sheet name="Sheet1" sheetId="1" r:id="rId1"/>
    <sheet name="EE_PDP8" sheetId="2" r:id="rId2"/>
    <sheet name="EE_PDP8_NoBESS" sheetId="3" r:id="rId3"/>
    <sheet name="EE_Directive10" sheetId="4" r:id="rId4"/>
    <sheet name="EE_Directive10_NoBESS" sheetId="5" r:id="rId5"/>
    <sheet name="EE_PDP8_PV_BESS" sheetId="6" r:id="rId6"/>
    <sheet name="EE_PDP8_PV_BESS_NoBESS" sheetId="7" r:id="rId7"/>
    <sheet name="PDP8_GF_A" sheetId="8" r:id="rId8"/>
    <sheet name="PDP8_GF_B" sheetId="9" r:id="rId9"/>
    <sheet name="PDP8_GF_C" sheetId="10" r:id="rId10"/>
    <sheet name="NZ_GF_A" sheetId="11" r:id="rId11"/>
    <sheet name="NZ_GF_B" sheetId="12" r:id="rId12"/>
    <sheet name="NZ_GF_C" sheetId="13" r:id="rId13"/>
    <sheet name="NZ" sheetId="14" r:id="rId14"/>
    <sheet name="NZ_constEE" sheetId="15" r:id="rId15"/>
    <sheet name="NZ_constInt" sheetId="16" r:id="rId16"/>
    <sheet name="NZ_constEEInt" sheetId="17" r:id="rId17"/>
    <sheet name="NZ_subsidy" sheetId="18" r:id="rId18"/>
    <sheet name="ImportShock_Fossil2_P10" sheetId="19" r:id="rId19"/>
  </sheets>
  <externalReferences>
    <externalReference r:id="rId20"/>
  </externalReferenc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4" i="17" l="1"/>
  <c r="A25" i="17" s="1"/>
  <c r="A26" i="17" s="1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4" i="17"/>
  <c r="A3" i="17"/>
  <c r="A2" i="17"/>
  <c r="A24" i="16"/>
  <c r="A25" i="16" s="1"/>
  <c r="A26" i="16" s="1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4" i="16"/>
  <c r="A3" i="16"/>
  <c r="A2" i="16"/>
  <c r="A24" i="15"/>
  <c r="A25" i="15" s="1"/>
  <c r="A26" i="15" s="1"/>
  <c r="A23" i="15"/>
  <c r="A22" i="15"/>
  <c r="A21" i="15"/>
  <c r="A20" i="15"/>
  <c r="A19" i="15"/>
  <c r="A18" i="15"/>
  <c r="A17" i="15"/>
  <c r="A16" i="15"/>
  <c r="A15" i="15"/>
  <c r="A14" i="15"/>
  <c r="A13" i="15"/>
  <c r="A12" i="15"/>
  <c r="A11" i="15"/>
  <c r="A10" i="15"/>
  <c r="A9" i="15"/>
  <c r="A8" i="15"/>
  <c r="A7" i="15"/>
  <c r="A6" i="15"/>
  <c r="A5" i="15"/>
  <c r="A4" i="15"/>
  <c r="A3" i="15"/>
  <c r="A2" i="15"/>
  <c r="F26" i="14"/>
  <c r="F25" i="14"/>
  <c r="F24" i="14"/>
  <c r="F23" i="14"/>
  <c r="F22" i="14"/>
  <c r="F21" i="14"/>
  <c r="F20" i="14"/>
  <c r="F19" i="14"/>
  <c r="F18" i="14"/>
  <c r="F17" i="14"/>
  <c r="F16" i="14"/>
  <c r="F15" i="14"/>
  <c r="F14" i="14"/>
  <c r="F13" i="14"/>
  <c r="F12" i="14"/>
  <c r="F11" i="14"/>
  <c r="F10" i="14"/>
  <c r="F9" i="14"/>
  <c r="F8" i="14"/>
  <c r="F7" i="14"/>
  <c r="E7" i="14"/>
  <c r="G7" i="14" s="1"/>
  <c r="B7" i="14"/>
  <c r="F6" i="14"/>
  <c r="E6" i="14"/>
  <c r="G6" i="14" s="1"/>
  <c r="B6" i="14"/>
  <c r="G5" i="14"/>
  <c r="F5" i="14"/>
  <c r="E5" i="14"/>
  <c r="B5" i="14"/>
  <c r="G4" i="14"/>
  <c r="F4" i="14"/>
  <c r="E4" i="14"/>
  <c r="B4" i="14"/>
  <c r="F3" i="14"/>
  <c r="E3" i="14"/>
  <c r="G3" i="14" s="1"/>
  <c r="F2" i="14"/>
  <c r="E2" i="14"/>
  <c r="G2" i="14" s="1"/>
  <c r="B2" i="14"/>
  <c r="A24" i="18"/>
  <c r="A25" i="18" s="1"/>
  <c r="A26" i="18" s="1"/>
  <c r="A23" i="18"/>
  <c r="A22" i="18"/>
  <c r="A21" i="18"/>
  <c r="A20" i="18"/>
  <c r="A19" i="18"/>
  <c r="A18" i="18"/>
  <c r="A17" i="18"/>
  <c r="A16" i="18"/>
  <c r="A15" i="18"/>
  <c r="A14" i="18"/>
  <c r="A13" i="18"/>
  <c r="A12" i="18"/>
  <c r="A11" i="18"/>
  <c r="A10" i="18"/>
  <c r="A9" i="18"/>
  <c r="A8" i="18"/>
  <c r="A7" i="18"/>
  <c r="A6" i="18"/>
  <c r="A5" i="18"/>
  <c r="A4" i="18"/>
  <c r="A3" i="18"/>
  <c r="A2" i="18"/>
  <c r="B3" i="14" l="1"/>
  <c r="E8" i="14"/>
  <c r="G8" i="14" l="1"/>
  <c r="E9" i="14"/>
  <c r="B8" i="14"/>
  <c r="E10" i="14" l="1"/>
  <c r="G9" i="14"/>
  <c r="B9" i="14"/>
  <c r="G10" i="14" l="1"/>
  <c r="B10" i="14"/>
  <c r="E11" i="14"/>
  <c r="B11" i="14" l="1"/>
  <c r="G11" i="14"/>
  <c r="E12" i="14"/>
  <c r="E13" i="14" l="1"/>
  <c r="G12" i="14"/>
  <c r="B12" i="14"/>
  <c r="B13" i="14" l="1"/>
  <c r="G13" i="14"/>
  <c r="E14" i="14"/>
  <c r="G14" i="14" l="1"/>
  <c r="B14" i="14"/>
  <c r="E15" i="14"/>
  <c r="G15" i="14" l="1"/>
  <c r="B15" i="14"/>
  <c r="E16" i="14"/>
  <c r="E17" i="14" l="1"/>
  <c r="B16" i="14"/>
  <c r="G16" i="14"/>
  <c r="B17" i="14" l="1"/>
  <c r="E18" i="14"/>
  <c r="G17" i="14"/>
  <c r="G18" i="14" l="1"/>
  <c r="B18" i="14"/>
  <c r="E19" i="14"/>
  <c r="E20" i="14" l="1"/>
  <c r="G19" i="14"/>
  <c r="B19" i="14"/>
  <c r="E21" i="14" l="1"/>
  <c r="G20" i="14"/>
  <c r="B20" i="14"/>
  <c r="E22" i="14" l="1"/>
  <c r="B21" i="14"/>
  <c r="G21" i="14"/>
  <c r="E23" i="14" l="1"/>
  <c r="G22" i="14"/>
  <c r="B22" i="14"/>
  <c r="G23" i="14" l="1"/>
  <c r="E24" i="14"/>
  <c r="B23" i="14"/>
  <c r="E25" i="14" l="1"/>
  <c r="G24" i="14"/>
  <c r="B24" i="14"/>
  <c r="E26" i="14" l="1"/>
  <c r="B25" i="14"/>
  <c r="G25" i="14"/>
  <c r="B26" i="14" l="1"/>
  <c r="G26" i="14"/>
</calcChain>
</file>

<file path=xl/sharedStrings.xml><?xml version="1.0" encoding="utf-8"?>
<sst xmlns="http://schemas.openxmlformats.org/spreadsheetml/2006/main" count="145" uniqueCount="126">
  <si>
    <t> </t>
  </si>
  <si>
    <t>exo_CapTrade_1</t>
  </si>
  <si>
    <t>Time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</si>
  <si>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</si>
  <si>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</si>
  <si>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</si>
  <si>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</si>
  <si>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</si>
  <si>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</si>
  <si>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</si>
  <si>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</si>
  <si>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</si>
  <si>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</si>
  <si>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</si>
  <si>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</si>
  <si>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</si>
  <si>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</si>
  <si>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</si>
  <si>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</si>
  <si>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</si>
  <si>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</si>
  <si>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</si>
  <si>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</si>
  <si>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</si>
  <si>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</si>
  <si>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</si>
  <si>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</si>
  <si>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</si>
  <si>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</si>
  <si>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</si>
  <si>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</si>
  <si>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</si>
  <si>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</si>
  <si>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</si>
  <si>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</si>
  <si>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</si>
  <si>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</si>
  <si>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</si>
  <si>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</si>
  <si>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</si>
  <si>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</si>
  <si>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</si>
  <si>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</si>
  <si>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</si>
  <si>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</si>
  <si>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</si>
  <si>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</si>
  <si>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</si>
  <si>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</si>
  <si>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</si>
  <si>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</si>
  <si>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</si>
  <si>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</si>
  <si>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</si>
  <si>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</si>
  <si>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</si>
  <si>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</si>
  <si>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</si>
  <si>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</si>
  <si>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</si>
  <si>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</si>
  <si>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</si>
  <si>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</si>
  <si>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Period</t>
  </si>
  <si>
    <t>Year</t>
  </si>
  <si>
    <t>exo_AI_4_1_2</t>
  </si>
  <si>
    <t>exo_AI_5_1_2</t>
  </si>
  <si>
    <t>exo_GA_4_1</t>
  </si>
  <si>
    <t>exo_GA_5_1</t>
  </si>
  <si>
    <t>exo_GA_3_1</t>
  </si>
  <si>
    <t>exo_PVEff_1</t>
  </si>
  <si>
    <t>exo_PV_1</t>
  </si>
  <si>
    <t>exo_lAddEE_4_1</t>
  </si>
  <si>
    <t>exo_lAddEE_5_1</t>
  </si>
  <si>
    <t>exo_CapTrade_1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</si>
  <si>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</si>
  <si>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</si>
  <si>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</si>
  <si>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</si>
  <si>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</si>
  <si>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</si>
  <si>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</si>
  <si>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</si>
  <si>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</si>
  <si>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</si>
  <si>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</si>
  <si>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</si>
  <si>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</si>
  <si>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</si>
  <si>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</si>
  <si>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</si>
  <si>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</si>
  <si>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</si>
  <si>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</si>
  <si>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</si>
  <si>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</si>
  <si>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</si>
  <si>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</si>
  <si>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</si>
  <si>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</si>
  <si>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</si>
  <si>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</si>
  <si>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</si>
  <si>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</si>
  <si>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</si>
  <si>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</si>
  <si>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</si>
  <si>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</si>
  <si>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</si>
  <si>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</si>
  <si>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Time</t>
  </si>
  <si>
    <t>exo_r_G_3_1</t>
  </si>
  <si>
    <t>exo_r_FDI_3_1</t>
  </si>
  <si>
    <t>exo_lIGShare_3_1</t>
  </si>
  <si>
    <t>exo_sIGShare_3_1</t>
  </si>
  <si>
    <t>exo_lFDIShare_3_1</t>
  </si>
  <si>
    <t>exo_sFDIShare_3_1</t>
  </si>
  <si>
    <t>exo_E_1</t>
  </si>
  <si>
    <t>exo_tauS_1</t>
  </si>
  <si>
    <t>E_1</t>
  </si>
  <si>
    <t>E_Base</t>
  </si>
  <si>
    <t>exo_K_G_2_1</t>
  </si>
  <si>
    <t>exo_EE_1</t>
  </si>
  <si>
    <t>exo_kappaE_2_1</t>
  </si>
  <si>
    <t>exo_lMAmount_2</t>
  </si>
  <si>
    <t>exo_MAmt_2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</si>
</sst>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sz val="11"/>
      <name val="Calibri"/>
      <family val="2"/>
    </font>
    <font>
      <sz val="11"/>
      <name val="Calibri"/>
      <family val="2"/>
      <charset val="1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969696"/>
        <bgColor rgb="FF80808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0" fontId="1" fillId="0" borderId="1"/>
    <xf numFmtId="0" fontId="3" fillId="0" borderId="1"/>
  </cellStyleXfs>
  <cellXfs count="5">
    <xf numFmtId="0" fontId="0" fillId="0" borderId="0" xfId="0"/>
    <xf numFmtId="0" fontId="1" fillId="2" borderId="1" xfId="1" applyFill="1"/>
    <xf numFmtId="0" fontId="2" fillId="2" borderId="1" xfId="1" applyFont="1" applyFill="1"/>
    <xf numFmtId="0" fontId="1" fillId="0" borderId="1" xfId="1"/>
    <xf numFmtId="0" fontId="1" fillId="0" borderId="1" xfId="1" applyFill="1"/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schul\Documents\GitHub\DGE-METRIC\ExcelFiles\ModelSimulationandCalibration5Sectorsand1Regions.xlsx" TargetMode="External"/><Relationship Id="rId1" Type="http://schemas.openxmlformats.org/officeDocument/2006/relationships/externalLinkPath" Target="Archive/ModelSimulationandCalibration5Sectorsand1Region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ent"/>
      <sheetName val="IO_Data"/>
      <sheetName val="Trade_Flows"/>
      <sheetName val="Data"/>
      <sheetName val="Baseline_Input"/>
      <sheetName val="Baseline_calc"/>
      <sheetName val="Start"/>
      <sheetName val="Structural Parameters"/>
      <sheetName val="Baseline"/>
      <sheetName val="RTS"/>
      <sheetName val="RTS_CapandTrade"/>
      <sheetName val="PDP8_subsidies"/>
      <sheetName val="PDP8_concessional"/>
      <sheetName val="PDP8_conandsub"/>
      <sheetName val="EE_CapandTrade"/>
      <sheetName val="EE"/>
      <sheetName val="NZ"/>
      <sheetName val="NZ_concessional"/>
      <sheetName val="NZ_conandsub"/>
      <sheetName val="NZ_subsidies"/>
      <sheetName val="NZ_constEE"/>
      <sheetName val="NZ_constInt"/>
      <sheetName val="NZ_constEEInt"/>
      <sheetName val="NZ_lowphiK"/>
      <sheetName val="Finance_RG"/>
      <sheetName val="Baseline_test"/>
      <sheetName val="NZCalib"/>
      <sheetName val="BaselineCalib"/>
      <sheetName val="QA_Spelling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A2">
            <v>2</v>
          </cell>
          <cell r="P2">
            <v>4.8790164169432049E-2</v>
          </cell>
        </row>
        <row r="3">
          <cell r="A3">
            <v>3</v>
          </cell>
          <cell r="P3">
            <v>7.8348966410976523E-2</v>
          </cell>
        </row>
        <row r="4">
          <cell r="A4">
            <v>4</v>
          </cell>
          <cell r="P4">
            <v>9.8151593707156273E-2</v>
          </cell>
        </row>
        <row r="5">
          <cell r="A5">
            <v>5</v>
          </cell>
          <cell r="P5">
            <v>0.10810192456032432</v>
          </cell>
        </row>
        <row r="6">
          <cell r="A6">
            <v>6</v>
          </cell>
          <cell r="P6">
            <v>0.10810192456032432</v>
          </cell>
        </row>
        <row r="7">
          <cell r="A7">
            <v>7</v>
          </cell>
          <cell r="P7">
            <v>9.8051588706822929E-2</v>
          </cell>
        </row>
        <row r="8">
          <cell r="A8">
            <v>8</v>
          </cell>
          <cell r="P8">
            <v>7.7848881389303376E-2</v>
          </cell>
        </row>
        <row r="9">
          <cell r="A9">
            <v>9</v>
          </cell>
          <cell r="P9">
            <v>4.7389673904594899E-2</v>
          </cell>
        </row>
        <row r="10">
          <cell r="A10">
            <v>10</v>
          </cell>
          <cell r="P10">
            <v>6.5676793843398454E-3</v>
          </cell>
        </row>
        <row r="11">
          <cell r="A11">
            <v>11</v>
          </cell>
          <cell r="P11">
            <v>-4.4725615003210609E-2</v>
          </cell>
        </row>
        <row r="12">
          <cell r="A12">
            <v>12</v>
          </cell>
          <cell r="P12">
            <v>-0.10660101872129805</v>
          </cell>
        </row>
        <row r="13">
          <cell r="A13">
            <v>13</v>
          </cell>
          <cell r="P13">
            <v>-0.17917171155613346</v>
          </cell>
        </row>
        <row r="14">
          <cell r="A14">
            <v>14</v>
          </cell>
          <cell r="P14">
            <v>-0.26255332049518443</v>
          </cell>
        </row>
        <row r="15">
          <cell r="A15">
            <v>15</v>
          </cell>
          <cell r="P15">
            <v>-0.35686399996642576</v>
          </cell>
        </row>
        <row r="16">
          <cell r="A16">
            <v>16</v>
          </cell>
          <cell r="P16">
            <v>-0.46222451562425199</v>
          </cell>
        </row>
        <row r="17">
          <cell r="A17">
            <v>17</v>
          </cell>
          <cell r="P17">
            <v>-0.57875833188020342</v>
          </cell>
        </row>
        <row r="18">
          <cell r="A18">
            <v>18</v>
          </cell>
          <cell r="P18">
            <v>-0.70659170339008837</v>
          </cell>
        </row>
        <row r="19">
          <cell r="A19">
            <v>19</v>
          </cell>
          <cell r="P19">
            <v>-0.8458537707235958</v>
          </cell>
        </row>
        <row r="20">
          <cell r="A20">
            <v>20</v>
          </cell>
          <cell r="P20">
            <v>-0.99667666045817938</v>
          </cell>
        </row>
        <row r="21">
          <cell r="A21">
            <v>21</v>
          </cell>
          <cell r="P21">
            <v>-1.1591955899559543</v>
          </cell>
        </row>
        <row r="22">
          <cell r="A22">
            <v>22</v>
          </cell>
          <cell r="P22">
            <v>-1.3335489771007318</v>
          </cell>
        </row>
        <row r="23">
          <cell r="A23">
            <v>23</v>
          </cell>
          <cell r="P23">
            <v>-1.3862943611198906</v>
          </cell>
        </row>
        <row r="24">
          <cell r="A24">
            <v>24</v>
          </cell>
          <cell r="P24">
            <v>-1.3862943611198906</v>
          </cell>
        </row>
        <row r="25">
          <cell r="P25">
            <v>-1.3862943611198906</v>
          </cell>
        </row>
        <row r="26">
          <cell r="P26">
            <v>-1.3862943611198906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5" x14ac:dyDescent="0.25"/>
  <cols>
    <col min="1" max="1" width="1.5703125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6"/>
  <sheetViews>
    <sheetView workbookViewId="0">
      <selection activeCell="J1" sqref="J1:K26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8" width="2.140625" customWidth="1"/>
    <col min="9" max="9" width="14.7109375" customWidth="1"/>
    <col min="10" max="11" width="15.5703125" bestFit="1" customWidth="1"/>
    <col min="12" max="12" width="15.7109375" bestFit="1" customWidth="1"/>
  </cols>
  <sheetData>
    <row r="1" spans="1:12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  <c r="K1" t="s">
        <v>13</v>
      </c>
      <c r="L1" t="s">
        <v>14</v>
      </c>
    </row>
    <row r="2" spans="1:12" x14ac:dyDescent="0.25">
      <c r="A2">
        <v>2</v>
      </c>
      <c r="B2">
        <v>2026</v>
      </c>
      <c r="C2">
        <v>1.5050335853501507E-2</v>
      </c>
      <c r="D2">
        <v>2.8032171697264255E-2</v>
      </c>
      <c r="E2">
        <v>2.2279069767441859E-2</v>
      </c>
      <c r="F2">
        <v>1.9058139534883722E-2</v>
      </c>
      <c r="G2">
        <v>0</v>
      </c>
      <c r="H2">
        <v>0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2.8513189422933148E-2</v>
      </c>
      <c r="D3">
        <v>5.3967960605833823E-2</v>
      </c>
      <c r="E3">
        <v>2.8281263082197961E-2</v>
      </c>
      <c r="F3">
        <v>2.3556919599861295E-2</v>
      </c>
      <c r="G3">
        <v>0</v>
      </c>
      <c r="H3">
        <v>0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4.6210554390183789E-2</v>
      </c>
      <c r="D4">
        <v>8.3506718401182081E-2</v>
      </c>
      <c r="E4">
        <v>3.6975570736969166E-2</v>
      </c>
      <c r="F4">
        <v>3.0468178958047074E-2</v>
      </c>
      <c r="G4">
        <v>0</v>
      </c>
      <c r="H4">
        <v>0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8.1842156115721876E-2</v>
      </c>
      <c r="D5">
        <v>0.12830317170777167</v>
      </c>
      <c r="E5">
        <v>5.6954901673237059E-2</v>
      </c>
      <c r="F5">
        <v>4.7479935279236836E-2</v>
      </c>
      <c r="G5">
        <v>0</v>
      </c>
      <c r="H5">
        <v>0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0.14330697020560096</v>
      </c>
      <c r="D6">
        <v>0.19485379741025205</v>
      </c>
      <c r="E6">
        <v>9.3431780619727026E-2</v>
      </c>
      <c r="F6">
        <v>7.9255689391701856E-2</v>
      </c>
      <c r="G6">
        <v>0</v>
      </c>
      <c r="H6">
        <v>0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0.15247172281882176</v>
      </c>
      <c r="D7">
        <v>0.21188994218150903</v>
      </c>
      <c r="E7">
        <v>0.10202586633232094</v>
      </c>
      <c r="F7">
        <v>8.7011646069142787E-2</v>
      </c>
      <c r="G7">
        <v>0</v>
      </c>
      <c r="H7">
        <v>0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0.1609028489180522</v>
      </c>
      <c r="D8">
        <v>0.22847687176629819</v>
      </c>
      <c r="E8">
        <v>0.11050591594342493</v>
      </c>
      <c r="F8">
        <v>9.4846770954188392E-2</v>
      </c>
      <c r="G8">
        <v>0</v>
      </c>
      <c r="H8">
        <v>0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0.16864816467022481</v>
      </c>
      <c r="D9">
        <v>0.24462892743141798</v>
      </c>
      <c r="E9">
        <v>0.1188738785181557</v>
      </c>
      <c r="F9">
        <v>0.10276148265148946</v>
      </c>
      <c r="G9">
        <v>0</v>
      </c>
      <c r="H9">
        <v>0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0.17575419534496747</v>
      </c>
      <c r="D10">
        <v>0.26036066475975023</v>
      </c>
      <c r="E10">
        <v>0.12713150821511707</v>
      </c>
      <c r="F10">
        <v>0.11075615790523281</v>
      </c>
      <c r="G10">
        <v>0</v>
      </c>
      <c r="H10">
        <v>0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0.18226600702401013</v>
      </c>
      <c r="D11">
        <v>0.27568679322415018</v>
      </c>
      <c r="E11">
        <v>0.13528038377705404</v>
      </c>
      <c r="F11">
        <v>0.1188311357851851</v>
      </c>
      <c r="G11">
        <v>0</v>
      </c>
      <c r="H11">
        <v>0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0.19815766758639383</v>
      </c>
      <c r="D12">
        <v>0.29996495332350753</v>
      </c>
      <c r="E12">
        <v>0.15068635382664691</v>
      </c>
      <c r="F12">
        <v>0.13413455710285152</v>
      </c>
      <c r="G12">
        <v>0</v>
      </c>
      <c r="H12">
        <v>0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0.21273179806698383</v>
      </c>
      <c r="D13">
        <v>0.32344394222078854</v>
      </c>
      <c r="E13">
        <v>0.16588144676345462</v>
      </c>
      <c r="F13">
        <v>0.14961127579433658</v>
      </c>
      <c r="G13">
        <v>0</v>
      </c>
      <c r="H13">
        <v>0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0.22605207896268781</v>
      </c>
      <c r="D14">
        <v>0.34613568619276724</v>
      </c>
      <c r="E14">
        <v>0.18086681349093769</v>
      </c>
      <c r="F14">
        <v>0.16526153904150068</v>
      </c>
      <c r="G14">
        <v>0</v>
      </c>
      <c r="H14">
        <v>0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0.23818377112778721</v>
      </c>
      <c r="D15">
        <v>0.36805379161305446</v>
      </c>
      <c r="E15">
        <v>0.19564348982221108</v>
      </c>
      <c r="F15">
        <v>0.18108556930801797</v>
      </c>
      <c r="G15">
        <v>0</v>
      </c>
      <c r="H15">
        <v>0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0.2491930611969895</v>
      </c>
      <c r="D16">
        <v>0.3892134312167666</v>
      </c>
      <c r="E16">
        <v>0.21021240798907728</v>
      </c>
      <c r="F16">
        <v>0.19708356681119579</v>
      </c>
      <c r="G16">
        <v>0</v>
      </c>
      <c r="H16">
        <v>0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0.26031112639778081</v>
      </c>
      <c r="D17">
        <v>0.41096662958402447</v>
      </c>
      <c r="E17">
        <v>0.22603036479832425</v>
      </c>
      <c r="F17">
        <v>0.214772485876664</v>
      </c>
      <c r="G17">
        <v>0</v>
      </c>
      <c r="H17">
        <v>0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0.27029943380683635</v>
      </c>
      <c r="D18">
        <v>0.43192035918314764</v>
      </c>
      <c r="E18">
        <v>0.24161641464624109</v>
      </c>
      <c r="F18">
        <v>0.23265409185779751</v>
      </c>
      <c r="G18">
        <v>0</v>
      </c>
      <c r="H18">
        <v>0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0.45209211427559165</v>
      </c>
      <c r="E19">
        <v>0.2569716557344634</v>
      </c>
      <c r="F19">
        <v>0.25072859350371057</v>
      </c>
      <c r="G19">
        <v>0</v>
      </c>
      <c r="H19">
        <v>0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0.2871631063120122</v>
      </c>
      <c r="D20">
        <v>0.47150085809083037</v>
      </c>
      <c r="E20">
        <v>0.27209707644446279</v>
      </c>
      <c r="F20">
        <v>0.26899617868860681</v>
      </c>
      <c r="G20">
        <v>0</v>
      </c>
      <c r="H20">
        <v>0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0.29417505944659805</v>
      </c>
      <c r="D21">
        <v>0.49016687474767701</v>
      </c>
      <c r="E21">
        <v>0.28699356631956441</v>
      </c>
      <c r="F21">
        <v>0.28745701649926841</v>
      </c>
      <c r="G21">
        <v>0</v>
      </c>
      <c r="H21">
        <v>0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0.29046054585976361</v>
      </c>
      <c r="D22">
        <v>0.49675749389414459</v>
      </c>
      <c r="E22">
        <v>0.29138164111375026</v>
      </c>
      <c r="F22">
        <v>0.29467435156341965</v>
      </c>
      <c r="G22">
        <v>0</v>
      </c>
      <c r="H22">
        <v>0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0.28693258129093258</v>
      </c>
      <c r="D23">
        <v>0.50332547430376984</v>
      </c>
      <c r="E23">
        <v>0.2956998437517448</v>
      </c>
      <c r="F23">
        <v>0.30194633830519896</v>
      </c>
      <c r="G23">
        <v>0</v>
      </c>
      <c r="H23">
        <v>0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0.28359047275879634</v>
      </c>
      <c r="D24">
        <v>0.50987708210895932</v>
      </c>
      <c r="E24">
        <v>0.29994882271063183</v>
      </c>
      <c r="F24">
        <v>0.30927309998887065</v>
      </c>
      <c r="G24">
        <v>0</v>
      </c>
      <c r="H24">
        <v>0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0.28043308365058478</v>
      </c>
      <c r="D25">
        <v>0.51641818554841046</v>
      </c>
      <c r="E25">
        <v>0.30412916161978754</v>
      </c>
      <c r="F25">
        <v>0.31665474755227241</v>
      </c>
      <c r="G25">
        <v>0</v>
      </c>
      <c r="H25">
        <v>0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0.2774588889262668</v>
      </c>
      <c r="D26">
        <v>0.52295427184592302</v>
      </c>
      <c r="E26">
        <v>0.30824138574564935</v>
      </c>
      <c r="F26">
        <v>0.32409138083945871</v>
      </c>
      <c r="G26">
        <v>0</v>
      </c>
      <c r="H26">
        <v>0</v>
      </c>
      <c r="I26">
        <v>2.6844566888795086E-2</v>
      </c>
      <c r="J26">
        <v>1</v>
      </c>
      <c r="K26">
        <v>1</v>
      </c>
      <c r="L2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6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8" width="2.140625" customWidth="1"/>
    <col min="9" max="9" width="14.7109375" customWidth="1"/>
    <col min="10" max="12" width="2.140625" customWidth="1"/>
  </cols>
  <sheetData>
    <row r="1" spans="1:12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  <c r="K1" t="s">
        <v>25</v>
      </c>
      <c r="L1" t="s">
        <v>26</v>
      </c>
    </row>
    <row r="2" spans="1:12" x14ac:dyDescent="0.25">
      <c r="A2">
        <v>2</v>
      </c>
      <c r="B2">
        <v>2026</v>
      </c>
      <c r="C2">
        <v>1.5050335853501507E-2</v>
      </c>
      <c r="D2">
        <v>2.8032171697264255E-2</v>
      </c>
      <c r="E2">
        <v>2.2279069767441859E-2</v>
      </c>
      <c r="F2">
        <v>1.9058139534883722E-2</v>
      </c>
      <c r="G2">
        <v>0</v>
      </c>
      <c r="H2">
        <v>0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2.8513189422933148E-2</v>
      </c>
      <c r="D3">
        <v>5.3967960605833823E-2</v>
      </c>
      <c r="E3">
        <v>2.8281263082197961E-2</v>
      </c>
      <c r="F3">
        <v>2.3556919599861295E-2</v>
      </c>
      <c r="G3">
        <v>0</v>
      </c>
      <c r="H3">
        <v>0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4.6210554390183789E-2</v>
      </c>
      <c r="D4">
        <v>8.3506718401182081E-2</v>
      </c>
      <c r="E4">
        <v>3.6975570736969166E-2</v>
      </c>
      <c r="F4">
        <v>3.0468178958047074E-2</v>
      </c>
      <c r="G4">
        <v>0</v>
      </c>
      <c r="H4">
        <v>0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8.1842156115721876E-2</v>
      </c>
      <c r="D5">
        <v>0.12830317170777167</v>
      </c>
      <c r="E5">
        <v>5.6954901673237059E-2</v>
      </c>
      <c r="F5">
        <v>4.7479935279236836E-2</v>
      </c>
      <c r="G5">
        <v>0</v>
      </c>
      <c r="H5">
        <v>0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0.14330697020560096</v>
      </c>
      <c r="D6">
        <v>0.19485379741025205</v>
      </c>
      <c r="E6">
        <v>9.3431780619727026E-2</v>
      </c>
      <c r="F6">
        <v>7.9255689391701856E-2</v>
      </c>
      <c r="G6">
        <v>0</v>
      </c>
      <c r="H6">
        <v>0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0.15247172281882176</v>
      </c>
      <c r="D7">
        <v>0.21188994218150903</v>
      </c>
      <c r="E7">
        <v>0.10202586633232094</v>
      </c>
      <c r="F7">
        <v>8.7011646069142787E-2</v>
      </c>
      <c r="G7">
        <v>0</v>
      </c>
      <c r="H7">
        <v>0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0.1609028489180522</v>
      </c>
      <c r="D8">
        <v>0.22847687176629819</v>
      </c>
      <c r="E8">
        <v>0.11050591594342493</v>
      </c>
      <c r="F8">
        <v>9.4846770954188392E-2</v>
      </c>
      <c r="G8">
        <v>0</v>
      </c>
      <c r="H8">
        <v>0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0.16864816467022481</v>
      </c>
      <c r="D9">
        <v>0.24462892743141798</v>
      </c>
      <c r="E9">
        <v>0.1188738785181557</v>
      </c>
      <c r="F9">
        <v>0.10276148265148946</v>
      </c>
      <c r="G9">
        <v>0</v>
      </c>
      <c r="H9">
        <v>0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0.17575419534496747</v>
      </c>
      <c r="D10">
        <v>0.26036066475975023</v>
      </c>
      <c r="E10">
        <v>0.12713150821511707</v>
      </c>
      <c r="F10">
        <v>0.11075615790523281</v>
      </c>
      <c r="G10">
        <v>0</v>
      </c>
      <c r="H10">
        <v>0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0.18226600702401013</v>
      </c>
      <c r="D11">
        <v>0.27568679322415018</v>
      </c>
      <c r="E11">
        <v>0.13528038377705404</v>
      </c>
      <c r="F11">
        <v>0.1188311357851851</v>
      </c>
      <c r="G11">
        <v>0</v>
      </c>
      <c r="H11">
        <v>0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0.19815766758639383</v>
      </c>
      <c r="D12">
        <v>0.29996495332350753</v>
      </c>
      <c r="E12">
        <v>0.15068635382664691</v>
      </c>
      <c r="F12">
        <v>0.13413455710285152</v>
      </c>
      <c r="G12">
        <v>0</v>
      </c>
      <c r="H12">
        <v>0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0.21273179806698383</v>
      </c>
      <c r="D13">
        <v>0.32344394222078854</v>
      </c>
      <c r="E13">
        <v>0.16588144676345462</v>
      </c>
      <c r="F13">
        <v>0.14961127579433658</v>
      </c>
      <c r="G13">
        <v>0</v>
      </c>
      <c r="H13">
        <v>0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0.22605207896268781</v>
      </c>
      <c r="D14">
        <v>0.34613568619276724</v>
      </c>
      <c r="E14">
        <v>0.18086681349093769</v>
      </c>
      <c r="F14">
        <v>0.16526153904150068</v>
      </c>
      <c r="G14">
        <v>0</v>
      </c>
      <c r="H14">
        <v>0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0.23818377112778721</v>
      </c>
      <c r="D15">
        <v>0.36805379161305446</v>
      </c>
      <c r="E15">
        <v>0.19564348982221108</v>
      </c>
      <c r="F15">
        <v>0.18108556930801797</v>
      </c>
      <c r="G15">
        <v>0</v>
      </c>
      <c r="H15">
        <v>0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0.2491930611969895</v>
      </c>
      <c r="D16">
        <v>0.3892134312167666</v>
      </c>
      <c r="E16">
        <v>0.21021240798907728</v>
      </c>
      <c r="F16">
        <v>0.19708356681119579</v>
      </c>
      <c r="G16">
        <v>0</v>
      </c>
      <c r="H16">
        <v>0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0.26031112639778081</v>
      </c>
      <c r="D17">
        <v>0.41096662958402447</v>
      </c>
      <c r="E17">
        <v>0.22603036479832425</v>
      </c>
      <c r="F17">
        <v>0.214772485876664</v>
      </c>
      <c r="G17">
        <v>0</v>
      </c>
      <c r="H17">
        <v>0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0.27029943380683635</v>
      </c>
      <c r="D18">
        <v>0.43192035918314764</v>
      </c>
      <c r="E18">
        <v>0.24161641464624109</v>
      </c>
      <c r="F18">
        <v>0.23265409185779751</v>
      </c>
      <c r="G18">
        <v>0</v>
      </c>
      <c r="H18">
        <v>0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0.27922717265889302</v>
      </c>
      <c r="D19">
        <v>0.45209211427559165</v>
      </c>
      <c r="E19">
        <v>0.2569716557344634</v>
      </c>
      <c r="F19">
        <v>0.25072859350371057</v>
      </c>
      <c r="G19">
        <v>0</v>
      </c>
      <c r="H19">
        <v>0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0.2871631063120122</v>
      </c>
      <c r="D20">
        <v>0.47150085809083037</v>
      </c>
      <c r="E20">
        <v>0.27209707644446279</v>
      </c>
      <c r="F20">
        <v>0.26899617868860681</v>
      </c>
      <c r="G20">
        <v>0</v>
      </c>
      <c r="H20">
        <v>0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0.29417505944659805</v>
      </c>
      <c r="D21">
        <v>0.49016687474767701</v>
      </c>
      <c r="E21">
        <v>0.28699356631956441</v>
      </c>
      <c r="F21">
        <v>0.28745701649926841</v>
      </c>
      <c r="G21">
        <v>0</v>
      </c>
      <c r="H21">
        <v>0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0.29046054585976361</v>
      </c>
      <c r="D22">
        <v>0.49675749389414459</v>
      </c>
      <c r="E22">
        <v>0.29138164111375026</v>
      </c>
      <c r="F22">
        <v>0.29467435156341965</v>
      </c>
      <c r="G22">
        <v>0</v>
      </c>
      <c r="H22">
        <v>0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0.28693258129093258</v>
      </c>
      <c r="D23">
        <v>0.50332547430376984</v>
      </c>
      <c r="E23">
        <v>0.2956998437517448</v>
      </c>
      <c r="F23">
        <v>0.30194633830519896</v>
      </c>
      <c r="G23">
        <v>0</v>
      </c>
      <c r="H23">
        <v>0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0.28359047275879634</v>
      </c>
      <c r="D24">
        <v>0.50987708210895932</v>
      </c>
      <c r="E24">
        <v>0.29994882271063183</v>
      </c>
      <c r="F24">
        <v>0.30927309998887065</v>
      </c>
      <c r="G24">
        <v>0</v>
      </c>
      <c r="H24">
        <v>0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0.28043308365058478</v>
      </c>
      <c r="D25">
        <v>0.51641818554841046</v>
      </c>
      <c r="E25">
        <v>0.30412916161978754</v>
      </c>
      <c r="F25">
        <v>0.31665474755227241</v>
      </c>
      <c r="G25">
        <v>0</v>
      </c>
      <c r="H25">
        <v>0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0.2774588889262668</v>
      </c>
      <c r="D26">
        <v>0.52295427184592302</v>
      </c>
      <c r="E26">
        <v>0.30824138574564935</v>
      </c>
      <c r="F26">
        <v>0.32409138083945871</v>
      </c>
      <c r="G26">
        <v>0</v>
      </c>
      <c r="H26">
        <v>0</v>
      </c>
      <c r="I26">
        <v>2.6844566888795086E-2</v>
      </c>
      <c r="J26">
        <v>1</v>
      </c>
      <c r="K26">
        <v>1</v>
      </c>
      <c r="L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workbookViewId="0">
      <selection activeCell="D10" sqref="D10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9" width="14.7109375" customWidth="1"/>
    <col min="10" max="12" width="2.140625" customWidth="1"/>
  </cols>
  <sheetData>
    <row r="1" spans="1:12" x14ac:dyDescent="0.25">
      <c r="A1" t="s">
        <v>27</v>
      </c>
      <c r="B1" t="s">
        <v>28</v>
      </c>
      <c r="C1" t="s">
        <v>29</v>
      </c>
      <c r="D1" t="s">
        <v>30</v>
      </c>
      <c r="E1" t="s">
        <v>31</v>
      </c>
      <c r="F1" t="s">
        <v>32</v>
      </c>
      <c r="G1" t="s">
        <v>33</v>
      </c>
      <c r="H1" t="s">
        <v>34</v>
      </c>
      <c r="I1" t="s">
        <v>35</v>
      </c>
      <c r="J1" t="s">
        <v>36</v>
      </c>
      <c r="K1" t="s">
        <v>37</v>
      </c>
      <c r="L1" t="s">
        <v>38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2.2418604651162789E-2</v>
      </c>
      <c r="F2">
        <v>1.9088372093023259E-2</v>
      </c>
      <c r="G2">
        <v>1.6744186046511627E-3</v>
      </c>
      <c r="H2">
        <v>4.9875415110389679E-3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2.8540565407779356E-2</v>
      </c>
      <c r="F3">
        <v>2.3613780064977573E-2</v>
      </c>
      <c r="G3">
        <v>4.2296511627906977E-3</v>
      </c>
      <c r="H3">
        <v>1.1187189390564376E-2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3.7336849806736606E-2</v>
      </c>
      <c r="F4">
        <v>3.0548423144093586E-2</v>
      </c>
      <c r="G4">
        <v>6.3218023255813948E-3</v>
      </c>
      <c r="H4">
        <v>1.7348638334613073E-2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5.740214585928357E-2</v>
      </c>
      <c r="F5">
        <v>4.7580643418771718E-2</v>
      </c>
      <c r="G5">
        <v>7.997180232558139E-3</v>
      </c>
      <c r="H5">
        <v>2.3472356185142068E-2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9.3950579456936328E-2</v>
      </c>
      <c r="F6">
        <v>7.9374233694027435E-2</v>
      </c>
      <c r="G6">
        <v>9.2974622093023249E-3</v>
      </c>
      <c r="H6">
        <v>2.9558802241544429E-2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0.10260790156487908</v>
      </c>
      <c r="F7">
        <v>8.7146242917979996E-2</v>
      </c>
      <c r="G7">
        <v>1.0307250872093023E-2</v>
      </c>
      <c r="H7">
        <v>3.3434776086237419E-2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0.11114370114109935</v>
      </c>
      <c r="F8">
        <v>9.4995815094886069E-2</v>
      </c>
      <c r="G8">
        <v>1.1155595552325582E-2</v>
      </c>
      <c r="H8">
        <v>3.7295784743696929E-2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0.1195606758937371</v>
      </c>
      <c r="F9">
        <v>0.10292352935486156</v>
      </c>
      <c r="G9">
        <v>1.1858640648255814E-2</v>
      </c>
      <c r="H9">
        <v>4.1141943331175213E-2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0.12786125376011706</v>
      </c>
      <c r="F10">
        <v>0.11092990691501188</v>
      </c>
      <c r="G10">
        <v>1.2430916118313954E-2</v>
      </c>
      <c r="H10">
        <v>4.4973365642731196E-2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0.1360476198838331</v>
      </c>
      <c r="F11">
        <v>0.11901541687073046</v>
      </c>
      <c r="G11">
        <v>1.288549892508721E-2</v>
      </c>
      <c r="H11">
        <v>4.8790164169432049E-2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0.15148616864832945</v>
      </c>
      <c r="F12">
        <v>0.13432831705658654</v>
      </c>
      <c r="G12">
        <v>1.3234158334904071E-2</v>
      </c>
      <c r="H12">
        <v>5.2592450119170631E-2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0.16670941963785266</v>
      </c>
      <c r="F13">
        <v>0.14981356672944227</v>
      </c>
      <c r="G13">
        <v>1.3487486687460176E-2</v>
      </c>
      <c r="H13">
        <v>5.6380333436107689E-2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0.18171896582208197</v>
      </c>
      <c r="F14">
        <v>0.16547150785983999</v>
      </c>
      <c r="G14">
        <v>1.3655017088481601E-2</v>
      </c>
      <c r="H14">
        <v>6.0153922819747144E-2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0.19651624087372929</v>
      </c>
      <c r="F15">
        <v>0.18130244822126754</v>
      </c>
      <c r="G15">
        <v>1.3745329333121812E-2</v>
      </c>
      <c r="H15">
        <v>6.3913325743652855E-2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0.21110253509823437</v>
      </c>
      <c r="F16">
        <v>0.19730666480986458</v>
      </c>
      <c r="G16">
        <v>1.3766145237018934E-2</v>
      </c>
      <c r="H16">
        <v>6.7658648473814864E-2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0.22693729315005401</v>
      </c>
      <c r="F17">
        <v>0.21500141361034963</v>
      </c>
      <c r="G17">
        <v>1.4440693504014716E-2</v>
      </c>
      <c r="H17">
        <v>7.045846364856137E-2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0.24253962690698391</v>
      </c>
      <c r="F18">
        <v>0.23288849891113783</v>
      </c>
      <c r="G18">
        <v>1.5005926479194642E-2</v>
      </c>
      <c r="H18">
        <v>7.3250461739592737E-2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0.25791068630401565</v>
      </c>
      <c r="F19">
        <v>0.25096816450287968</v>
      </c>
      <c r="G19">
        <v>1.5472775691740295E-2</v>
      </c>
      <c r="H19">
        <v>7.6034686275997576E-2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0.27305150628264119</v>
      </c>
      <c r="F20">
        <v>0.26924062979716129</v>
      </c>
      <c r="G20">
        <v>1.5851079517915104E-2</v>
      </c>
      <c r="H20">
        <v>7.8811180424289848E-2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0.2879630182902041</v>
      </c>
      <c r="F21">
        <v>0.2877060922644093</v>
      </c>
      <c r="G21">
        <v>1.6149692496356151E-2</v>
      </c>
      <c r="H21">
        <v>8.1579986992422845E-2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0.29236577579430267</v>
      </c>
      <c r="F22">
        <v>0.29492782207762785</v>
      </c>
      <c r="G22">
        <v>1.6376583711836815E-2</v>
      </c>
      <c r="H22">
        <v>8.4341148433750956E-2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0.29669835566191644</v>
      </c>
      <c r="F23">
        <v>0.30220399665170727</v>
      </c>
      <c r="G23">
        <v>1.6538925340653134E-2</v>
      </c>
      <c r="H23">
        <v>8.7094706850933734E-2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0.30096143691815835</v>
      </c>
      <c r="F24">
        <v>0.30953475994258861</v>
      </c>
      <c r="G24">
        <v>1.664317234147154E-2</v>
      </c>
      <c r="H24">
        <v>8.9840703999789537E-2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0.30515563068563117</v>
      </c>
      <c r="F25">
        <v>0.31692024151061854</v>
      </c>
      <c r="G25">
        <v>1.6695134177091828E-2</v>
      </c>
      <c r="H25">
        <v>9.2579181293093171E-2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0.30928148697467611</v>
      </c>
      <c r="F26">
        <v>0.32436055796010982</v>
      </c>
      <c r="G26">
        <v>1.6700039364033806E-2</v>
      </c>
      <c r="H26">
        <v>9.5310179804324935E-2</v>
      </c>
      <c r="I26">
        <v>2.6844566888795086E-2</v>
      </c>
      <c r="J26">
        <v>1</v>
      </c>
      <c r="K26">
        <v>1</v>
      </c>
      <c r="L26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26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8" width="2.140625" customWidth="1"/>
    <col min="9" max="9" width="14.7109375" customWidth="1"/>
    <col min="10" max="12" width="2.140625" customWidth="1"/>
  </cols>
  <sheetData>
    <row r="1" spans="1:12" x14ac:dyDescent="0.25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</row>
    <row r="2" spans="1:12" x14ac:dyDescent="0.25">
      <c r="A2">
        <v>2</v>
      </c>
      <c r="B2">
        <v>2026</v>
      </c>
      <c r="C2">
        <v>2.520270731751947E-2</v>
      </c>
      <c r="D2">
        <v>3.5113637810048108E-2</v>
      </c>
      <c r="E2">
        <v>2.2418604651162789E-2</v>
      </c>
      <c r="F2">
        <v>1.9088372093023259E-2</v>
      </c>
      <c r="G2">
        <v>0</v>
      </c>
      <c r="H2">
        <v>0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4.7473531946636505E-2</v>
      </c>
      <c r="D3">
        <v>6.7199705815453328E-2</v>
      </c>
      <c r="E3">
        <v>2.8540565407779356E-2</v>
      </c>
      <c r="F3">
        <v>2.3613780064977573E-2</v>
      </c>
      <c r="G3">
        <v>0</v>
      </c>
      <c r="H3">
        <v>0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7.4148222400599345E-2</v>
      </c>
      <c r="D4">
        <v>0.10296457755052317</v>
      </c>
      <c r="E4">
        <v>3.7336849806736606E-2</v>
      </c>
      <c r="F4">
        <v>3.0548423144093586E-2</v>
      </c>
      <c r="G4">
        <v>0</v>
      </c>
      <c r="H4">
        <v>0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0.11893180826004895</v>
      </c>
      <c r="D5">
        <v>0.15406451388407769</v>
      </c>
      <c r="E5">
        <v>5.740214585928357E-2</v>
      </c>
      <c r="F5">
        <v>4.7580643418771718E-2</v>
      </c>
      <c r="G5">
        <v>0</v>
      </c>
      <c r="H5">
        <v>0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0.18972880705685011</v>
      </c>
      <c r="D6">
        <v>0.22699757046494179</v>
      </c>
      <c r="E6">
        <v>9.3950579456936328E-2</v>
      </c>
      <c r="F6">
        <v>7.9374233694027435E-2</v>
      </c>
      <c r="G6">
        <v>0</v>
      </c>
      <c r="H6">
        <v>0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0.19959145630936223</v>
      </c>
      <c r="D7">
        <v>0.24437684248057462</v>
      </c>
      <c r="E7">
        <v>0.10260790156487908</v>
      </c>
      <c r="F7">
        <v>8.7146242917979996E-2</v>
      </c>
      <c r="G7">
        <v>0</v>
      </c>
      <c r="H7">
        <v>0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0.20872240989503046</v>
      </c>
      <c r="D8">
        <v>0.26130757849943198</v>
      </c>
      <c r="E8">
        <v>0.11114370114109935</v>
      </c>
      <c r="F8">
        <v>9.4995815094886069E-2</v>
      </c>
      <c r="G8">
        <v>0</v>
      </c>
      <c r="H8">
        <v>0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0.217169492176989</v>
      </c>
      <c r="D9">
        <v>0.27780412182728248</v>
      </c>
      <c r="E9">
        <v>0.1195606758937371</v>
      </c>
      <c r="F9">
        <v>0.10292352935486156</v>
      </c>
      <c r="G9">
        <v>0</v>
      </c>
      <c r="H9">
        <v>0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0.22497923666845904</v>
      </c>
      <c r="D10">
        <v>0.29388103009422845</v>
      </c>
      <c r="E10">
        <v>0.12786125376011706</v>
      </c>
      <c r="F10">
        <v>0.11092990691501188</v>
      </c>
      <c r="G10">
        <v>0</v>
      </c>
      <c r="H10">
        <v>0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0.23219671774250544</v>
      </c>
      <c r="D11">
        <v>0.30955301482863784</v>
      </c>
      <c r="E11">
        <v>0.1360476198838331</v>
      </c>
      <c r="F11">
        <v>0.11901541687073046</v>
      </c>
      <c r="G11">
        <v>0</v>
      </c>
      <c r="H11">
        <v>0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0.24879601161759898</v>
      </c>
      <c r="D12">
        <v>0.33417771859324696</v>
      </c>
      <c r="E12">
        <v>0.15148616864832945</v>
      </c>
      <c r="F12">
        <v>0.13432831705658654</v>
      </c>
      <c r="G12">
        <v>0</v>
      </c>
      <c r="H12">
        <v>0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0.26407974771648335</v>
      </c>
      <c r="D13">
        <v>0.35800394062324647</v>
      </c>
      <c r="E13">
        <v>0.16670941963785266</v>
      </c>
      <c r="F13">
        <v>0.14981356672944227</v>
      </c>
      <c r="G13">
        <v>0</v>
      </c>
      <c r="H13">
        <v>0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0.27811161497275372</v>
      </c>
      <c r="D14">
        <v>0.38104360927605441</v>
      </c>
      <c r="E14">
        <v>0.18171896582208197</v>
      </c>
      <c r="F14">
        <v>0.16547150785983999</v>
      </c>
      <c r="G14">
        <v>0</v>
      </c>
      <c r="H14">
        <v>0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0.29095688272655046</v>
      </c>
      <c r="D15">
        <v>0.40331033301438918</v>
      </c>
      <c r="E15">
        <v>0.19651624087372929</v>
      </c>
      <c r="F15">
        <v>0.18130244822126754</v>
      </c>
      <c r="G15">
        <v>0</v>
      </c>
      <c r="H15">
        <v>0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0.30268174614797549</v>
      </c>
      <c r="D16">
        <v>0.42481928667098101</v>
      </c>
      <c r="E16">
        <v>0.21110253509823437</v>
      </c>
      <c r="F16">
        <v>0.19730666480986458</v>
      </c>
      <c r="G16">
        <v>0</v>
      </c>
      <c r="H16">
        <v>0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0.31437834766805656</v>
      </c>
      <c r="D17">
        <v>0.44701412007840124</v>
      </c>
      <c r="E17">
        <v>0.22693729315005401</v>
      </c>
      <c r="F17">
        <v>0.21500141361034963</v>
      </c>
      <c r="G17">
        <v>0</v>
      </c>
      <c r="H17">
        <v>0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0.3249461300889811</v>
      </c>
      <c r="D18">
        <v>0.46841004387162555</v>
      </c>
      <c r="E18">
        <v>0.24253962690698391</v>
      </c>
      <c r="F18">
        <v>0.23288849891113783</v>
      </c>
      <c r="G18">
        <v>0</v>
      </c>
      <c r="H18">
        <v>0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0.3344542850294554</v>
      </c>
      <c r="D19">
        <v>0.48902455341801393</v>
      </c>
      <c r="E19">
        <v>0.25791068630401565</v>
      </c>
      <c r="F19">
        <v>0.25096816450287968</v>
      </c>
      <c r="G19">
        <v>0</v>
      </c>
      <c r="H19">
        <v>0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0.34297157823989322</v>
      </c>
      <c r="D20">
        <v>0.50887661305596799</v>
      </c>
      <c r="E20">
        <v>0.27305150628264119</v>
      </c>
      <c r="F20">
        <v>0.26924062979716129</v>
      </c>
      <c r="G20">
        <v>0</v>
      </c>
      <c r="H20">
        <v>0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0.35056583680147313</v>
      </c>
      <c r="D21">
        <v>0.5279865080162629</v>
      </c>
      <c r="E21">
        <v>0.2879630182902041</v>
      </c>
      <c r="F21">
        <v>0.2877060922644093</v>
      </c>
      <c r="G21">
        <v>0</v>
      </c>
      <c r="H21">
        <v>0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0.34743457692054136</v>
      </c>
      <c r="D22">
        <v>0.53502156906191989</v>
      </c>
      <c r="E22">
        <v>0.29236577579430267</v>
      </c>
      <c r="F22">
        <v>0.29492782207762785</v>
      </c>
      <c r="G22">
        <v>0</v>
      </c>
      <c r="H22">
        <v>0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0.34449081675425464</v>
      </c>
      <c r="D23">
        <v>0.54203455608453843</v>
      </c>
      <c r="E23">
        <v>0.29669835566191644</v>
      </c>
      <c r="F23">
        <v>0.30220399665170727</v>
      </c>
      <c r="G23">
        <v>0</v>
      </c>
      <c r="H23">
        <v>0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0.34173386574757403</v>
      </c>
      <c r="D24">
        <v>0.5490317363376559</v>
      </c>
      <c r="E24">
        <v>0.30096143691815835</v>
      </c>
      <c r="F24">
        <v>0.30953475994258861</v>
      </c>
      <c r="G24">
        <v>0</v>
      </c>
      <c r="H24">
        <v>0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0.33916258972257463</v>
      </c>
      <c r="D25">
        <v>0.5560189791841772</v>
      </c>
      <c r="E25">
        <v>0.30515563068563117</v>
      </c>
      <c r="F25">
        <v>0.31692024151061854</v>
      </c>
      <c r="G25">
        <v>0</v>
      </c>
      <c r="H25">
        <v>0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0.33677546608268633</v>
      </c>
      <c r="D26">
        <v>0.56300177297519838</v>
      </c>
      <c r="E26">
        <v>0.30928148697467611</v>
      </c>
      <c r="F26">
        <v>0.32436055796010982</v>
      </c>
      <c r="G26">
        <v>0</v>
      </c>
      <c r="H26">
        <v>0</v>
      </c>
      <c r="I26">
        <v>2.6844566888795086E-2</v>
      </c>
      <c r="J26">
        <v>1</v>
      </c>
      <c r="K26">
        <v>1</v>
      </c>
      <c r="L26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6"/>
  <sheetViews>
    <sheetView workbookViewId="0"/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9" width="14.7109375" customWidth="1"/>
    <col min="10" max="12" width="2.140625" customWidth="1"/>
  </cols>
  <sheetData>
    <row r="1" spans="1:12" x14ac:dyDescent="0.25">
      <c r="A1" t="s">
        <v>51</v>
      </c>
      <c r="B1" t="s">
        <v>52</v>
      </c>
      <c r="C1" t="s">
        <v>53</v>
      </c>
      <c r="D1" t="s">
        <v>54</v>
      </c>
      <c r="E1" t="s">
        <v>55</v>
      </c>
      <c r="F1" t="s">
        <v>56</v>
      </c>
      <c r="G1" t="s">
        <v>57</v>
      </c>
      <c r="H1" t="s">
        <v>58</v>
      </c>
      <c r="I1" t="s">
        <v>59</v>
      </c>
      <c r="J1" t="s">
        <v>60</v>
      </c>
      <c r="K1" t="s">
        <v>61</v>
      </c>
      <c r="L1" t="s">
        <v>62</v>
      </c>
    </row>
    <row r="2" spans="1:12" x14ac:dyDescent="0.25">
      <c r="A2">
        <v>2</v>
      </c>
      <c r="B2">
        <v>2026</v>
      </c>
      <c r="C2">
        <v>1.9098924379501676E-2</v>
      </c>
      <c r="D2">
        <v>3.0555513939516679E-2</v>
      </c>
      <c r="E2">
        <v>2.2376744186046512E-2</v>
      </c>
      <c r="F2">
        <v>1.9079534883720932E-2</v>
      </c>
      <c r="G2">
        <v>3.3488372093023254E-3</v>
      </c>
      <c r="H2">
        <v>9.950330853168092E-3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3.7128878312121763E-2</v>
      </c>
      <c r="D3">
        <v>5.9849733976720762E-2</v>
      </c>
      <c r="E3">
        <v>2.8459286338011914E-2</v>
      </c>
      <c r="F3">
        <v>2.3596466111489203E-2</v>
      </c>
      <c r="G3">
        <v>7.1709302325581401E-3</v>
      </c>
      <c r="H3">
        <v>1.980262729617973E-2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5.9461223331883889E-2</v>
      </c>
      <c r="D4">
        <v>9.27787803449205E-2</v>
      </c>
      <c r="E4">
        <v>3.7218349806736606E-2</v>
      </c>
      <c r="F4">
        <v>3.052295686502382E-2</v>
      </c>
      <c r="G4">
        <v>1.0232906976744185E-2</v>
      </c>
      <c r="H4">
        <v>2.9558802241544429E-2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9.9797260364898749E-2</v>
      </c>
      <c r="D5">
        <v>0.14099785488382224</v>
      </c>
      <c r="E5">
        <v>5.7248402836027758E-2</v>
      </c>
      <c r="F5">
        <v>4.7547316790864741E-2</v>
      </c>
      <c r="G5">
        <v>1.2610779069767443E-2</v>
      </c>
      <c r="H5">
        <v>3.9220713153281329E-2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0.16603759123501133</v>
      </c>
      <c r="D6">
        <v>0.21100391955853084</v>
      </c>
      <c r="E6">
        <v>9.3763373526703775E-2</v>
      </c>
      <c r="F6">
        <v>7.9333309496353019E-2</v>
      </c>
      <c r="G6">
        <v>1.4372956976744186E-2</v>
      </c>
      <c r="H6">
        <v>4.8790164169432049E-2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0.17535276779478906</v>
      </c>
      <c r="D7">
        <v>0.22802223008830216</v>
      </c>
      <c r="E7">
        <v>0.10239023018115814</v>
      </c>
      <c r="F7">
        <v>8.7098364628445113E-2</v>
      </c>
      <c r="G7">
        <v>1.6003568255813953E-2</v>
      </c>
      <c r="H7">
        <v>5.3540766928029761E-2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0.1839346513348119</v>
      </c>
      <c r="D8">
        <v>0.24459129658569589</v>
      </c>
      <c r="E8">
        <v>0.11089826201202958</v>
      </c>
      <c r="F8">
        <v>9.4941561843606997E-2</v>
      </c>
      <c r="G8">
        <v>1.7376234686046512E-2</v>
      </c>
      <c r="H8">
        <v>5.8268908123975824E-2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0.19183105913401183</v>
      </c>
      <c r="D9">
        <v>0.2607254602474659</v>
      </c>
      <c r="E9">
        <v>0.11928989695664408</v>
      </c>
      <c r="F9">
        <v>0.10286342235894295</v>
      </c>
      <c r="G9">
        <v>1.8516750752325582E-2</v>
      </c>
      <c r="H9">
        <v>6.2974799161388387E-2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0.19908851757897281</v>
      </c>
      <c r="D10">
        <v>0.27643927658622258</v>
      </c>
      <c r="E10">
        <v>0.12756732015859382</v>
      </c>
      <c r="F10">
        <v>0.11086441526984793</v>
      </c>
      <c r="G10">
        <v>1.9448331491046515E-2</v>
      </c>
      <c r="H10">
        <v>6.7658648473814864E-2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0.20575209387336546</v>
      </c>
      <c r="D11">
        <v>0.29174745500432181</v>
      </c>
      <c r="E11">
        <v>0.13573249824711334</v>
      </c>
      <c r="F11">
        <v>0.11894496276217592</v>
      </c>
      <c r="G11">
        <v>2.019187043496512E-2</v>
      </c>
      <c r="H11">
        <v>7.2320661579626078E-2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0.22179585702318416</v>
      </c>
      <c r="D12">
        <v>0.31600763592992498</v>
      </c>
      <c r="E12">
        <v>0.15115162894272352</v>
      </c>
      <c r="F12">
        <v>0.13425328045191071</v>
      </c>
      <c r="G12">
        <v>2.0766171763561634E-2</v>
      </c>
      <c r="H12">
        <v>7.6961041136128394E-2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0.23652242919528807</v>
      </c>
      <c r="D13">
        <v>0.33946861645504045</v>
      </c>
      <c r="E13">
        <v>0.16635705483303986</v>
      </c>
      <c r="F13">
        <v>0.14973428959918753</v>
      </c>
      <c r="G13">
        <v>2.1188159238368264E-2</v>
      </c>
      <c r="H13">
        <v>8.1579986992422845E-2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0.24999549202364726</v>
      </c>
      <c r="D14">
        <v>0.36214232278525393</v>
      </c>
      <c r="E14">
        <v>0.18135020959077372</v>
      </c>
      <c r="F14">
        <v>0.16538829797749444</v>
      </c>
      <c r="G14">
        <v>2.1473064244763997E-2</v>
      </c>
      <c r="H14">
        <v>8.6177696241052398E-2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0.26228030750470321</v>
      </c>
      <c r="D15">
        <v>0.38404236122275565</v>
      </c>
      <c r="E15">
        <v>0.19613238352136583</v>
      </c>
      <c r="F15">
        <v>0.18121558258297049</v>
      </c>
      <c r="G15">
        <v>2.1634595029589924E-2</v>
      </c>
      <c r="H15">
        <v>9.0754363268464117E-2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0.27344306342044911</v>
      </c>
      <c r="D16">
        <v>0.40518390443100916</v>
      </c>
      <c r="E16">
        <v>0.21070473789971189</v>
      </c>
      <c r="F16">
        <v>0.19721639271214145</v>
      </c>
      <c r="G16">
        <v>2.1685089015003024E-2</v>
      </c>
      <c r="H16">
        <v>9.5310179804324935E-2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0.28478750390069191</v>
      </c>
      <c r="D17">
        <v>0.42711107353176681</v>
      </c>
      <c r="E17">
        <v>0.22652683381091868</v>
      </c>
      <c r="F17">
        <v>0.21490800593170112</v>
      </c>
      <c r="G17">
        <v>2.2702626625130631E-2</v>
      </c>
      <c r="H17">
        <v>9.8939947854903648E-2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0.29500247398025048</v>
      </c>
      <c r="D18">
        <v>0.44823894747662235</v>
      </c>
      <c r="E18">
        <v>0.24211765536222724</v>
      </c>
      <c r="F18">
        <v>0.23279219944221463</v>
      </c>
      <c r="G18">
        <v>2.3548643032385009E-2</v>
      </c>
      <c r="H18">
        <v>0.10255658832509215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0.30415716344732213</v>
      </c>
      <c r="D19">
        <v>0.46858502078968728</v>
      </c>
      <c r="E19">
        <v>0.25747823749512999</v>
      </c>
      <c r="F19">
        <v>0.25086919265526741</v>
      </c>
      <c r="G19">
        <v>2.4240290357053485E-2</v>
      </c>
      <c r="H19">
        <v>0.10616019582839073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0.31232033621486488</v>
      </c>
      <c r="D20">
        <v>0.48816825696362653</v>
      </c>
      <c r="E20">
        <v>0.27260951165696967</v>
      </c>
      <c r="F20">
        <v>0.26913918304128703</v>
      </c>
      <c r="G20">
        <v>2.4793005507394647E-2</v>
      </c>
      <c r="H20">
        <v>0.10975086395911929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0.31955981751962198</v>
      </c>
      <c r="D21">
        <v>0.50700894038098143</v>
      </c>
      <c r="E21">
        <v>0.28751231615035555</v>
      </c>
      <c r="F21">
        <v>0.28760234832365733</v>
      </c>
      <c r="G21">
        <v>2.5220681700841227E-2</v>
      </c>
      <c r="H21">
        <v>0.11332868530700327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0.3160731217164901</v>
      </c>
      <c r="D22">
        <v>0.51377440095403137</v>
      </c>
      <c r="E22">
        <v>0.29190712061262503</v>
      </c>
      <c r="F22">
        <v>0.29482194090304409</v>
      </c>
      <c r="G22">
        <v>2.5535822833082686E-2</v>
      </c>
      <c r="H22">
        <v>0.11689375147149943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0.31277326510412856</v>
      </c>
      <c r="D23">
        <v>0.52051739772111816</v>
      </c>
      <c r="E23">
        <v>0.29623242646352282</v>
      </c>
      <c r="F23">
        <v>0.30209612219923304</v>
      </c>
      <c r="G23">
        <v>2.5749682410239533E-2</v>
      </c>
      <c r="H23">
        <v>0.12044615307586726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0.30965955526192079</v>
      </c>
      <c r="D24">
        <v>0.52724419707999526</v>
      </c>
      <c r="E24">
        <v>0.30048884482565064</v>
      </c>
      <c r="F24">
        <v>0.30942502177257108</v>
      </c>
      <c r="G24">
        <v>2.5872388587820233E-2</v>
      </c>
      <c r="H24">
        <v>0.1239859797809913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0.30673085613924789</v>
      </c>
      <c r="D25">
        <v>0.5339606675352484</v>
      </c>
      <c r="E25">
        <v>0.30467692570935095</v>
      </c>
      <c r="F25">
        <v>0.31680875622737026</v>
      </c>
      <c r="G25">
        <v>2.5913056705782395E-2</v>
      </c>
      <c r="H25">
        <v>0.1275133202989597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0.30398564325969557</v>
      </c>
      <c r="D26">
        <v>0.54067229657710969</v>
      </c>
      <c r="E26">
        <v>0.30879716412393088</v>
      </c>
      <c r="F26">
        <v>0.32424743050751192</v>
      </c>
      <c r="G26">
        <v>2.5879890570087879E-2</v>
      </c>
      <c r="H26">
        <v>0.13102826240640419</v>
      </c>
      <c r="I26">
        <v>2.6844566888795086E-2</v>
      </c>
      <c r="J26">
        <v>1</v>
      </c>
      <c r="K26">
        <v>1</v>
      </c>
      <c r="L2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26"/>
  <sheetViews>
    <sheetView workbookViewId="0">
      <selection activeCell="J1" sqref="J1"/>
    </sheetView>
  </sheetViews>
  <sheetFormatPr defaultRowHeight="15" x14ac:dyDescent="0.25"/>
  <cols>
    <col min="1" max="1" width="3.140625" customWidth="1"/>
    <col min="2" max="2" width="5.140625" customWidth="1"/>
    <col min="3" max="6" width="13.7109375" customWidth="1"/>
    <col min="7" max="8" width="2.140625" customWidth="1"/>
    <col min="9" max="9" width="14.7109375" customWidth="1"/>
    <col min="10" max="12" width="2.140625" customWidth="1"/>
  </cols>
  <sheetData>
    <row r="1" spans="1:12" x14ac:dyDescent="0.25">
      <c r="A1" t="s">
        <v>63</v>
      </c>
      <c r="B1" t="s">
        <v>64</v>
      </c>
      <c r="C1" t="s">
        <v>65</v>
      </c>
      <c r="D1" t="s">
        <v>66</v>
      </c>
      <c r="E1" t="s">
        <v>67</v>
      </c>
      <c r="F1" t="s">
        <v>68</v>
      </c>
      <c r="G1" t="s">
        <v>69</v>
      </c>
      <c r="H1" t="s">
        <v>70</v>
      </c>
      <c r="I1" t="s">
        <v>71</v>
      </c>
      <c r="J1" t="s">
        <v>72</v>
      </c>
      <c r="K1" t="s">
        <v>73</v>
      </c>
      <c r="L1" t="s">
        <v>74</v>
      </c>
    </row>
    <row r="2" spans="1:12" x14ac:dyDescent="0.25">
      <c r="A2">
        <v>2</v>
      </c>
      <c r="B2">
        <v>2026</v>
      </c>
      <c r="C2">
        <v>1.9098924379501676E-2</v>
      </c>
      <c r="D2">
        <v>3.0555513939516679E-2</v>
      </c>
      <c r="E2">
        <v>2.2376744186046512E-2</v>
      </c>
      <c r="F2">
        <v>1.9079534883720932E-2</v>
      </c>
      <c r="G2">
        <v>0</v>
      </c>
      <c r="H2">
        <v>0</v>
      </c>
      <c r="I2">
        <v>1.2999999999999999E-3</v>
      </c>
      <c r="J2">
        <v>1</v>
      </c>
      <c r="K2">
        <v>1</v>
      </c>
      <c r="L2">
        <v>1</v>
      </c>
    </row>
    <row r="3" spans="1:12" x14ac:dyDescent="0.25">
      <c r="A3">
        <v>3</v>
      </c>
      <c r="B3">
        <v>2027</v>
      </c>
      <c r="C3">
        <v>3.7128878312121763E-2</v>
      </c>
      <c r="D3">
        <v>5.9849733976720762E-2</v>
      </c>
      <c r="E3">
        <v>2.8459286338011914E-2</v>
      </c>
      <c r="F3">
        <v>2.3596466111489203E-2</v>
      </c>
      <c r="G3">
        <v>0</v>
      </c>
      <c r="H3">
        <v>0</v>
      </c>
      <c r="I3">
        <v>3.1663721700717672E-3</v>
      </c>
      <c r="J3">
        <v>1</v>
      </c>
      <c r="K3">
        <v>1</v>
      </c>
      <c r="L3">
        <v>1</v>
      </c>
    </row>
    <row r="4" spans="1:12" x14ac:dyDescent="0.25">
      <c r="A4">
        <v>4</v>
      </c>
      <c r="B4">
        <v>2028</v>
      </c>
      <c r="C4">
        <v>5.9461223331883889E-2</v>
      </c>
      <c r="D4">
        <v>9.27787803449205E-2</v>
      </c>
      <c r="E4">
        <v>3.7218349806736606E-2</v>
      </c>
      <c r="F4">
        <v>3.052295686502382E-2</v>
      </c>
      <c r="G4">
        <v>0</v>
      </c>
      <c r="H4">
        <v>0</v>
      </c>
      <c r="I4">
        <v>5.1978464936499299E-3</v>
      </c>
      <c r="J4">
        <v>1</v>
      </c>
      <c r="K4">
        <v>1</v>
      </c>
      <c r="L4">
        <v>1</v>
      </c>
    </row>
    <row r="5" spans="1:12" x14ac:dyDescent="0.25">
      <c r="A5">
        <v>5</v>
      </c>
      <c r="B5">
        <v>2029</v>
      </c>
      <c r="C5">
        <v>9.9797260364898749E-2</v>
      </c>
      <c r="D5">
        <v>0.14099785488382224</v>
      </c>
      <c r="E5">
        <v>5.7248402836027758E-2</v>
      </c>
      <c r="F5">
        <v>4.7547316790864741E-2</v>
      </c>
      <c r="G5">
        <v>0</v>
      </c>
      <c r="H5">
        <v>0</v>
      </c>
      <c r="I5">
        <v>1.3292876863611358E-2</v>
      </c>
      <c r="J5">
        <v>1</v>
      </c>
      <c r="K5">
        <v>1</v>
      </c>
      <c r="L5">
        <v>1</v>
      </c>
    </row>
    <row r="6" spans="1:12" x14ac:dyDescent="0.25">
      <c r="A6">
        <v>6</v>
      </c>
      <c r="B6">
        <v>2030</v>
      </c>
      <c r="C6">
        <v>0.16603759123501133</v>
      </c>
      <c r="D6">
        <v>0.21100391955853084</v>
      </c>
      <c r="E6">
        <v>9.3763373526703775E-2</v>
      </c>
      <c r="F6">
        <v>7.9333309496353019E-2</v>
      </c>
      <c r="G6">
        <v>0</v>
      </c>
      <c r="H6">
        <v>0</v>
      </c>
      <c r="I6">
        <v>2.5726504693539376E-2</v>
      </c>
      <c r="J6">
        <v>1</v>
      </c>
      <c r="K6">
        <v>1</v>
      </c>
      <c r="L6">
        <v>1</v>
      </c>
    </row>
    <row r="7" spans="1:12" x14ac:dyDescent="0.25">
      <c r="A7">
        <v>7</v>
      </c>
      <c r="B7">
        <v>2031</v>
      </c>
      <c r="C7">
        <v>0.17535276779478906</v>
      </c>
      <c r="D7">
        <v>0.22802223008830216</v>
      </c>
      <c r="E7">
        <v>0.10239023018115814</v>
      </c>
      <c r="F7">
        <v>8.7098364628445113E-2</v>
      </c>
      <c r="G7">
        <v>0</v>
      </c>
      <c r="H7">
        <v>0</v>
      </c>
      <c r="I7">
        <v>1.0399210423646535E-2</v>
      </c>
      <c r="J7">
        <v>1</v>
      </c>
      <c r="K7">
        <v>1</v>
      </c>
      <c r="L7">
        <v>1</v>
      </c>
    </row>
    <row r="8" spans="1:12" x14ac:dyDescent="0.25">
      <c r="A8">
        <v>8</v>
      </c>
      <c r="B8">
        <v>2032</v>
      </c>
      <c r="C8">
        <v>0.1839346513348119</v>
      </c>
      <c r="D8">
        <v>0.24459129658569589</v>
      </c>
      <c r="E8">
        <v>0.11089826201202958</v>
      </c>
      <c r="F8">
        <v>9.4941561843606997E-2</v>
      </c>
      <c r="G8">
        <v>0</v>
      </c>
      <c r="H8">
        <v>0</v>
      </c>
      <c r="I8">
        <v>1.0975493606026777E-2</v>
      </c>
      <c r="J8">
        <v>1</v>
      </c>
      <c r="K8">
        <v>1</v>
      </c>
      <c r="L8">
        <v>1</v>
      </c>
    </row>
    <row r="9" spans="1:12" x14ac:dyDescent="0.25">
      <c r="A9">
        <v>9</v>
      </c>
      <c r="B9">
        <v>2033</v>
      </c>
      <c r="C9">
        <v>0.19183105913401183</v>
      </c>
      <c r="D9">
        <v>0.2607254602474659</v>
      </c>
      <c r="E9">
        <v>0.11928989695664408</v>
      </c>
      <c r="F9">
        <v>0.10286342235894295</v>
      </c>
      <c r="G9">
        <v>0</v>
      </c>
      <c r="H9">
        <v>0</v>
      </c>
      <c r="I9">
        <v>1.1558150937250928E-2</v>
      </c>
      <c r="J9">
        <v>1</v>
      </c>
      <c r="K9">
        <v>1</v>
      </c>
      <c r="L9">
        <v>1</v>
      </c>
    </row>
    <row r="10" spans="1:12" x14ac:dyDescent="0.25">
      <c r="A10">
        <v>10</v>
      </c>
      <c r="B10">
        <v>2034</v>
      </c>
      <c r="C10">
        <v>0.19908851757897281</v>
      </c>
      <c r="D10">
        <v>0.27643927658622258</v>
      </c>
      <c r="E10">
        <v>0.12756732015859382</v>
      </c>
      <c r="F10">
        <v>0.11086441526984793</v>
      </c>
      <c r="G10">
        <v>0</v>
      </c>
      <c r="H10">
        <v>0</v>
      </c>
      <c r="I10">
        <v>1.2147182417319808E-2</v>
      </c>
      <c r="J10">
        <v>1</v>
      </c>
      <c r="K10">
        <v>1</v>
      </c>
      <c r="L10">
        <v>1</v>
      </c>
    </row>
    <row r="11" spans="1:12" x14ac:dyDescent="0.25">
      <c r="A11">
        <v>11</v>
      </c>
      <c r="B11">
        <v>2035</v>
      </c>
      <c r="C11">
        <v>0.20575209387336546</v>
      </c>
      <c r="D11">
        <v>0.29174745500432181</v>
      </c>
      <c r="E11">
        <v>0.13573249824711334</v>
      </c>
      <c r="F11">
        <v>0.11894496276217592</v>
      </c>
      <c r="G11">
        <v>0</v>
      </c>
      <c r="H11">
        <v>0</v>
      </c>
      <c r="I11">
        <v>1.2742588046232347E-2</v>
      </c>
      <c r="J11">
        <v>1</v>
      </c>
      <c r="K11">
        <v>1</v>
      </c>
      <c r="L11">
        <v>1</v>
      </c>
    </row>
    <row r="12" spans="1:12" x14ac:dyDescent="0.25">
      <c r="A12">
        <v>12</v>
      </c>
      <c r="B12">
        <v>2036</v>
      </c>
      <c r="C12">
        <v>0.22179585702318416</v>
      </c>
      <c r="D12">
        <v>0.31600763592992498</v>
      </c>
      <c r="E12">
        <v>0.15115162894272352</v>
      </c>
      <c r="F12">
        <v>0.13425328045191071</v>
      </c>
      <c r="G12">
        <v>0</v>
      </c>
      <c r="H12">
        <v>0</v>
      </c>
      <c r="I12">
        <v>1.8810359790653031E-2</v>
      </c>
      <c r="J12">
        <v>1</v>
      </c>
      <c r="K12">
        <v>1</v>
      </c>
      <c r="L12">
        <v>1</v>
      </c>
    </row>
    <row r="13" spans="1:12" x14ac:dyDescent="0.25">
      <c r="A13">
        <v>13</v>
      </c>
      <c r="B13">
        <v>2037</v>
      </c>
      <c r="C13">
        <v>0.23652242919528807</v>
      </c>
      <c r="D13">
        <v>0.33946861645504045</v>
      </c>
      <c r="E13">
        <v>0.16635705483303986</v>
      </c>
      <c r="F13">
        <v>0.14973428959918753</v>
      </c>
      <c r="G13">
        <v>0</v>
      </c>
      <c r="H13">
        <v>0</v>
      </c>
      <c r="I13">
        <v>2.0035783160861208E-2</v>
      </c>
      <c r="J13">
        <v>1</v>
      </c>
      <c r="K13">
        <v>1</v>
      </c>
      <c r="L13">
        <v>1</v>
      </c>
    </row>
    <row r="14" spans="1:12" x14ac:dyDescent="0.25">
      <c r="A14">
        <v>14</v>
      </c>
      <c r="B14">
        <v>2038</v>
      </c>
      <c r="C14">
        <v>0.24999549202364726</v>
      </c>
      <c r="D14">
        <v>0.36214232278525393</v>
      </c>
      <c r="E14">
        <v>0.18135020959077372</v>
      </c>
      <c r="F14">
        <v>0.16538829797749444</v>
      </c>
      <c r="G14">
        <v>0</v>
      </c>
      <c r="H14">
        <v>0</v>
      </c>
      <c r="I14">
        <v>2.127464770460763E-2</v>
      </c>
      <c r="J14">
        <v>1</v>
      </c>
      <c r="K14">
        <v>1</v>
      </c>
      <c r="L14">
        <v>1</v>
      </c>
    </row>
    <row r="15" spans="1:12" x14ac:dyDescent="0.25">
      <c r="A15">
        <v>15</v>
      </c>
      <c r="B15">
        <v>2039</v>
      </c>
      <c r="C15">
        <v>0.26228030750470321</v>
      </c>
      <c r="D15">
        <v>0.38404236122275565</v>
      </c>
      <c r="E15">
        <v>0.19613238352136583</v>
      </c>
      <c r="F15">
        <v>0.18121558258297049</v>
      </c>
      <c r="G15">
        <v>0</v>
      </c>
      <c r="H15">
        <v>0</v>
      </c>
      <c r="I15">
        <v>2.2526953421892013E-2</v>
      </c>
      <c r="J15">
        <v>1</v>
      </c>
      <c r="K15">
        <v>1</v>
      </c>
      <c r="L15">
        <v>1</v>
      </c>
    </row>
    <row r="16" spans="1:12" x14ac:dyDescent="0.25">
      <c r="A16">
        <v>16</v>
      </c>
      <c r="B16">
        <v>2040</v>
      </c>
      <c r="C16">
        <v>0.27344306342044911</v>
      </c>
      <c r="D16">
        <v>0.40518390443100916</v>
      </c>
      <c r="E16">
        <v>0.21070473789971189</v>
      </c>
      <c r="F16">
        <v>0.19721639271214145</v>
      </c>
      <c r="G16">
        <v>0</v>
      </c>
      <c r="H16">
        <v>0</v>
      </c>
      <c r="I16">
        <v>2.3792700312714896E-2</v>
      </c>
      <c r="J16">
        <v>1</v>
      </c>
      <c r="K16">
        <v>1</v>
      </c>
      <c r="L16">
        <v>1</v>
      </c>
    </row>
    <row r="17" spans="1:12" x14ac:dyDescent="0.25">
      <c r="A17">
        <v>17</v>
      </c>
      <c r="B17">
        <v>2041</v>
      </c>
      <c r="C17">
        <v>0.28478750390069191</v>
      </c>
      <c r="D17">
        <v>0.42711107353176681</v>
      </c>
      <c r="E17">
        <v>0.22652683381091868</v>
      </c>
      <c r="F17">
        <v>0.21490800593170112</v>
      </c>
      <c r="G17">
        <v>0</v>
      </c>
      <c r="H17">
        <v>0</v>
      </c>
      <c r="I17">
        <v>2.6232307992260694E-2</v>
      </c>
      <c r="J17">
        <v>1</v>
      </c>
      <c r="K17">
        <v>1</v>
      </c>
      <c r="L17">
        <v>1</v>
      </c>
    </row>
    <row r="18" spans="1:12" x14ac:dyDescent="0.25">
      <c r="A18">
        <v>18</v>
      </c>
      <c r="B18">
        <v>2042</v>
      </c>
      <c r="C18">
        <v>0.29500247398025048</v>
      </c>
      <c r="D18">
        <v>0.44823894747662235</v>
      </c>
      <c r="E18">
        <v>0.24211765536222724</v>
      </c>
      <c r="F18">
        <v>0.23279219944221463</v>
      </c>
      <c r="G18">
        <v>0</v>
      </c>
      <c r="H18">
        <v>0</v>
      </c>
      <c r="I18">
        <v>2.7655512590915355E-2</v>
      </c>
      <c r="J18">
        <v>1</v>
      </c>
      <c r="K18">
        <v>1</v>
      </c>
      <c r="L18">
        <v>1</v>
      </c>
    </row>
    <row r="19" spans="1:12" x14ac:dyDescent="0.25">
      <c r="A19">
        <v>19</v>
      </c>
      <c r="B19">
        <v>2043</v>
      </c>
      <c r="C19">
        <v>0.30415716344732213</v>
      </c>
      <c r="D19">
        <v>0.46858502078968728</v>
      </c>
      <c r="E19">
        <v>0.25747823749512999</v>
      </c>
      <c r="F19">
        <v>0.25086919265526741</v>
      </c>
      <c r="G19">
        <v>0</v>
      </c>
      <c r="H19">
        <v>0</v>
      </c>
      <c r="I19">
        <v>2.9093611703031923E-2</v>
      </c>
      <c r="J19">
        <v>1</v>
      </c>
      <c r="K19">
        <v>1</v>
      </c>
      <c r="L19">
        <v>1</v>
      </c>
    </row>
    <row r="20" spans="1:12" x14ac:dyDescent="0.25">
      <c r="A20">
        <v>20</v>
      </c>
      <c r="B20">
        <v>2044</v>
      </c>
      <c r="C20">
        <v>0.31232033621486488</v>
      </c>
      <c r="D20">
        <v>0.48816825696362653</v>
      </c>
      <c r="E20">
        <v>0.27260951165696967</v>
      </c>
      <c r="F20">
        <v>0.26913918304128703</v>
      </c>
      <c r="G20">
        <v>0</v>
      </c>
      <c r="H20">
        <v>0</v>
      </c>
      <c r="I20">
        <v>3.0546605328610626E-2</v>
      </c>
      <c r="J20">
        <v>1</v>
      </c>
      <c r="K20">
        <v>1</v>
      </c>
      <c r="L20">
        <v>1</v>
      </c>
    </row>
    <row r="21" spans="1:12" x14ac:dyDescent="0.25">
      <c r="A21">
        <v>21</v>
      </c>
      <c r="B21">
        <v>2045</v>
      </c>
      <c r="C21">
        <v>0.31955981751962198</v>
      </c>
      <c r="D21">
        <v>0.50700894038098143</v>
      </c>
      <c r="E21">
        <v>0.28751231615035555</v>
      </c>
      <c r="F21">
        <v>0.28760234832365733</v>
      </c>
      <c r="G21">
        <v>0</v>
      </c>
      <c r="H21">
        <v>0</v>
      </c>
      <c r="I21">
        <v>3.2014493467651096E-2</v>
      </c>
      <c r="J21">
        <v>1</v>
      </c>
      <c r="K21">
        <v>1</v>
      </c>
      <c r="L21">
        <v>1</v>
      </c>
    </row>
    <row r="22" spans="1:12" x14ac:dyDescent="0.25">
      <c r="A22">
        <v>22</v>
      </c>
      <c r="B22">
        <v>2046</v>
      </c>
      <c r="C22">
        <v>0.3160731217164901</v>
      </c>
      <c r="D22">
        <v>0.51377440095403137</v>
      </c>
      <c r="E22">
        <v>0.29190712061262503</v>
      </c>
      <c r="F22">
        <v>0.29482194090304409</v>
      </c>
      <c r="G22">
        <v>0</v>
      </c>
      <c r="H22">
        <v>0</v>
      </c>
      <c r="I22">
        <v>2.475140564045096E-2</v>
      </c>
      <c r="J22">
        <v>1</v>
      </c>
      <c r="K22">
        <v>1</v>
      </c>
      <c r="L22">
        <v>1</v>
      </c>
    </row>
    <row r="23" spans="1:12" x14ac:dyDescent="0.25">
      <c r="A23">
        <v>23</v>
      </c>
      <c r="B23">
        <v>2047</v>
      </c>
      <c r="C23">
        <v>0.31277326510412856</v>
      </c>
      <c r="D23">
        <v>0.52051739772111816</v>
      </c>
      <c r="E23">
        <v>0.29623242646352282</v>
      </c>
      <c r="F23">
        <v>0.30209612219923304</v>
      </c>
      <c r="G23">
        <v>0</v>
      </c>
      <c r="H23">
        <v>0</v>
      </c>
      <c r="I23">
        <v>2.5268285692270534E-2</v>
      </c>
      <c r="J23">
        <v>1</v>
      </c>
      <c r="K23">
        <v>1</v>
      </c>
      <c r="L23">
        <v>1</v>
      </c>
    </row>
    <row r="24" spans="1:12" x14ac:dyDescent="0.25">
      <c r="A24">
        <v>24</v>
      </c>
      <c r="B24">
        <v>2048</v>
      </c>
      <c r="C24">
        <v>0.30965955526192079</v>
      </c>
      <c r="D24">
        <v>0.52724419707999526</v>
      </c>
      <c r="E24">
        <v>0.30048884482565064</v>
      </c>
      <c r="F24">
        <v>0.30942502177257108</v>
      </c>
      <c r="G24">
        <v>0</v>
      </c>
      <c r="H24">
        <v>0</v>
      </c>
      <c r="I24">
        <v>2.5789439250934451E-2</v>
      </c>
      <c r="J24">
        <v>1</v>
      </c>
      <c r="K24">
        <v>1</v>
      </c>
      <c r="L24">
        <v>1</v>
      </c>
    </row>
    <row r="25" spans="1:12" x14ac:dyDescent="0.25">
      <c r="A25">
        <v>25</v>
      </c>
      <c r="B25">
        <v>2049</v>
      </c>
      <c r="C25">
        <v>0.30673085613924789</v>
      </c>
      <c r="D25">
        <v>0.5339606675352484</v>
      </c>
      <c r="E25">
        <v>0.30467692570935095</v>
      </c>
      <c r="F25">
        <v>0.31680875622737026</v>
      </c>
      <c r="G25">
        <v>0</v>
      </c>
      <c r="H25">
        <v>0</v>
      </c>
      <c r="I25">
        <v>2.6314866316442479E-2</v>
      </c>
      <c r="J25">
        <v>1</v>
      </c>
      <c r="K25">
        <v>1</v>
      </c>
      <c r="L25">
        <v>1</v>
      </c>
    </row>
    <row r="26" spans="1:12" x14ac:dyDescent="0.25">
      <c r="A26">
        <v>26</v>
      </c>
      <c r="B26">
        <v>2050</v>
      </c>
      <c r="C26">
        <v>0.30398564325969557</v>
      </c>
      <c r="D26">
        <v>0.54067229657710969</v>
      </c>
      <c r="E26">
        <v>0.30879716412393088</v>
      </c>
      <c r="F26">
        <v>0.32424743050751192</v>
      </c>
      <c r="G26">
        <v>0</v>
      </c>
      <c r="H26">
        <v>0</v>
      </c>
      <c r="I26">
        <v>2.6844566888795086E-2</v>
      </c>
      <c r="J26">
        <v>1</v>
      </c>
      <c r="K26">
        <v>1</v>
      </c>
      <c r="L26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6"/>
  <sheetViews>
    <sheetView workbookViewId="0">
      <selection activeCell="H1" sqref="H1:H26"/>
    </sheetView>
  </sheetViews>
  <sheetFormatPr defaultRowHeight="15" x14ac:dyDescent="0.25"/>
  <cols>
    <col min="1" max="1" width="3.140625" customWidth="1"/>
    <col min="2" max="3" width="14.28515625" customWidth="1"/>
    <col min="4" max="4" width="2.140625" customWidth="1"/>
    <col min="5" max="5" width="4.7109375" customWidth="1"/>
    <col min="6" max="6" width="2.140625" customWidth="1"/>
    <col min="7" max="7" width="4.7109375" customWidth="1"/>
  </cols>
  <sheetData>
    <row r="1" spans="1:8" x14ac:dyDescent="0.25">
      <c r="A1" t="s">
        <v>75</v>
      </c>
      <c r="B1" t="s">
        <v>76</v>
      </c>
      <c r="C1" t="s">
        <v>77</v>
      </c>
      <c r="D1" t="s">
        <v>78</v>
      </c>
      <c r="E1" t="s">
        <v>79</v>
      </c>
      <c r="F1" t="s">
        <v>80</v>
      </c>
      <c r="G1" t="s">
        <v>81</v>
      </c>
      <c r="H1" t="s">
        <v>1</v>
      </c>
    </row>
    <row r="2" spans="1:8" x14ac:dyDescent="0.25">
      <c r="A2">
        <v>2</v>
      </c>
      <c r="B2">
        <v>-3.8381578947368364E-2</v>
      </c>
      <c r="C2">
        <v>-3.9060150375939795E-2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-3.8381578947368364E-2</v>
      </c>
      <c r="C3">
        <v>-3.9060150375939795E-2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-3.8381578947368364E-2</v>
      </c>
      <c r="C4">
        <v>-3.9060150375939795E-2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-3.8381578947368364E-2</v>
      </c>
      <c r="C5">
        <v>-3.9060150375939795E-2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-3.8381578947368364E-2</v>
      </c>
      <c r="C6">
        <v>-3.9060150375939795E-2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-3.8381578947368364E-2</v>
      </c>
      <c r="C7">
        <v>-3.9060150375939795E-2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-3.8381578947368364E-2</v>
      </c>
      <c r="C8">
        <v>-3.9060150375939795E-2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-3.8381578947368364E-2</v>
      </c>
      <c r="C9">
        <v>-3.9060150375939795E-2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-3.8381578947368364E-2</v>
      </c>
      <c r="C10">
        <v>-3.9060150375939795E-2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-3.8381578947368364E-2</v>
      </c>
      <c r="C11">
        <v>-3.9060150375939795E-2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-3.8381578947368364E-2</v>
      </c>
      <c r="C12">
        <v>-3.9060150375939795E-2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-3.8381578947368364E-2</v>
      </c>
      <c r="C13">
        <v>-3.9060150375939795E-2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-3.8381578947368364E-2</v>
      </c>
      <c r="C14">
        <v>-3.9060150375939795E-2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-3.8381578947368364E-2</v>
      </c>
      <c r="C15">
        <v>-3.9060150375939795E-2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-3.8381578947368364E-2</v>
      </c>
      <c r="C16">
        <v>-3.9060150375939795E-2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-3.8381578947368364E-2</v>
      </c>
      <c r="C17">
        <v>-3.9060150375939795E-2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-3.8381578947368364E-2</v>
      </c>
      <c r="C18">
        <v>-3.9060150375939795E-2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-3.8381578947368364E-2</v>
      </c>
      <c r="C19">
        <v>-3.9060150375939795E-2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-3.8381578947368364E-2</v>
      </c>
      <c r="C20">
        <v>-3.9060150375939795E-2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-3.8381578947368364E-2</v>
      </c>
      <c r="C21">
        <v>-3.9060150375939795E-2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-3.8381578947368364E-2</v>
      </c>
      <c r="C22">
        <v>-3.9060150375939795E-2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-3.8381578947368364E-2</v>
      </c>
      <c r="C23">
        <v>-3.9060150375939795E-2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-3.8381578947368364E-2</v>
      </c>
      <c r="C24">
        <v>-3.9060150375939795E-2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-3.8381578947368364E-2</v>
      </c>
      <c r="C25">
        <v>-3.9060150375939795E-2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-3.8381578947368364E-2</v>
      </c>
      <c r="C26">
        <v>-3.9060150375939795E-2</v>
      </c>
      <c r="D26">
        <v>0</v>
      </c>
      <c r="E26">
        <v>0.19</v>
      </c>
      <c r="F26">
        <v>0</v>
      </c>
      <c r="G26">
        <v>0.14000000000000001</v>
      </c>
      <c r="H26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H1" sqref="H1"/>
    </sheetView>
  </sheetViews>
  <sheetFormatPr defaultRowHeight="15" x14ac:dyDescent="0.25"/>
  <cols>
    <col min="1" max="1" width="3.140625" customWidth="1"/>
    <col min="2" max="3" width="14.28515625" customWidth="1"/>
    <col min="4" max="4" width="2.140625" customWidth="1"/>
    <col min="5" max="5" width="5.7109375" customWidth="1"/>
    <col min="6" max="6" width="2.140625" customWidth="1"/>
    <col min="7" max="7" width="5.7109375" customWidth="1"/>
  </cols>
  <sheetData>
    <row r="1" spans="1:8" x14ac:dyDescent="0.25">
      <c r="A1" t="s">
        <v>82</v>
      </c>
      <c r="B1" t="s">
        <v>83</v>
      </c>
      <c r="C1" t="s">
        <v>84</v>
      </c>
      <c r="D1" t="s">
        <v>85</v>
      </c>
      <c r="E1" t="s">
        <v>86</v>
      </c>
      <c r="F1" t="s">
        <v>87</v>
      </c>
      <c r="G1" t="s">
        <v>88</v>
      </c>
      <c r="H1" t="s">
        <v>1</v>
      </c>
    </row>
    <row r="2" spans="1:8" x14ac:dyDescent="0.25">
      <c r="A2">
        <v>2</v>
      </c>
      <c r="B2">
        <v>-2.8961578947368352E-2</v>
      </c>
      <c r="C2">
        <v>-3.3599320882852224E-2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-2.8961578947368352E-2</v>
      </c>
      <c r="C3">
        <v>-3.3599320882852224E-2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-2.8961578947368352E-2</v>
      </c>
      <c r="C4">
        <v>-3.3599320882852224E-2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-2.8961578947368352E-2</v>
      </c>
      <c r="C5">
        <v>-3.3599320882852224E-2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-2.8961578947368352E-2</v>
      </c>
      <c r="C6">
        <v>-3.3599320882852224E-2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-2.8961578947368352E-2</v>
      </c>
      <c r="C7">
        <v>-3.3599320882852224E-2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-2.8961578947368352E-2</v>
      </c>
      <c r="C8">
        <v>-3.3599320882852224E-2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-2.8961578947368352E-2</v>
      </c>
      <c r="C9">
        <v>-3.3599320882852224E-2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-2.8961578947368352E-2</v>
      </c>
      <c r="C10">
        <v>-3.3599320882852224E-2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-2.8961578947368352E-2</v>
      </c>
      <c r="C11">
        <v>-3.3599320882852224E-2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-2.8961578947368352E-2</v>
      </c>
      <c r="C12">
        <v>-3.3599320882852224E-2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-2.8961578947368352E-2</v>
      </c>
      <c r="C13">
        <v>-3.3599320882852224E-2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-2.8961578947368352E-2</v>
      </c>
      <c r="C14">
        <v>-3.3599320882852224E-2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-2.8961578947368352E-2</v>
      </c>
      <c r="C15">
        <v>-3.3599320882852224E-2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-2.8961578947368352E-2</v>
      </c>
      <c r="C16">
        <v>-3.3599320882852224E-2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-2.8961578947368352E-2</v>
      </c>
      <c r="C17">
        <v>-3.3599320882852224E-2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-2.8961578947368352E-2</v>
      </c>
      <c r="C18">
        <v>-3.3599320882852224E-2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-2.8961578947368352E-2</v>
      </c>
      <c r="C19">
        <v>-3.3599320882852224E-2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-2.8961578947368352E-2</v>
      </c>
      <c r="C20">
        <v>-3.3599320882852224E-2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-2.8961578947368352E-2</v>
      </c>
      <c r="C21">
        <v>-3.3599320882852224E-2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-2.8961578947368352E-2</v>
      </c>
      <c r="C22">
        <v>-3.3599320882852224E-2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-2.8961578947368352E-2</v>
      </c>
      <c r="C23">
        <v>-3.3599320882852224E-2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-2.8961578947368352E-2</v>
      </c>
      <c r="C24">
        <v>-3.3599320882852224E-2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-2.8961578947368352E-2</v>
      </c>
      <c r="C25">
        <v>-3.3599320882852224E-2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-2.8961578947368352E-2</v>
      </c>
      <c r="C26">
        <v>-3.3599320882852224E-2</v>
      </c>
      <c r="D26">
        <v>0</v>
      </c>
      <c r="E26">
        <v>9.6000000000000002E-2</v>
      </c>
      <c r="F26">
        <v>0</v>
      </c>
      <c r="G26">
        <v>0.124</v>
      </c>
      <c r="H26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26"/>
  <sheetViews>
    <sheetView workbookViewId="0">
      <selection activeCell="H1" sqref="H1:H26"/>
    </sheetView>
  </sheetViews>
  <sheetFormatPr defaultRowHeight="15" x14ac:dyDescent="0.25"/>
  <cols>
    <col min="1" max="1" width="3.140625" customWidth="1"/>
    <col min="2" max="3" width="14.28515625" customWidth="1"/>
    <col min="4" max="4" width="2.140625" customWidth="1"/>
    <col min="5" max="5" width="5.7109375" customWidth="1"/>
    <col min="6" max="6" width="2.140625" customWidth="1"/>
    <col min="7" max="7" width="4.7109375" customWidth="1"/>
  </cols>
  <sheetData>
    <row r="1" spans="1:8" x14ac:dyDescent="0.25">
      <c r="A1" t="s">
        <v>89</v>
      </c>
      <c r="B1" t="s">
        <v>90</v>
      </c>
      <c r="C1" t="s">
        <v>91</v>
      </c>
      <c r="D1" t="s">
        <v>92</v>
      </c>
      <c r="E1" t="s">
        <v>93</v>
      </c>
      <c r="F1" t="s">
        <v>94</v>
      </c>
      <c r="G1" t="s">
        <v>95</v>
      </c>
      <c r="H1" t="s">
        <v>1</v>
      </c>
    </row>
    <row r="2" spans="1:8" x14ac:dyDescent="0.25">
      <c r="A2">
        <v>2</v>
      </c>
      <c r="B2">
        <v>-5.1961578947368359E-2</v>
      </c>
      <c r="C2">
        <v>-4.2631578947368361E-2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-5.1961578947368359E-2</v>
      </c>
      <c r="C3">
        <v>-4.2631578947368361E-2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-5.1961578947368359E-2</v>
      </c>
      <c r="C4">
        <v>-4.2631578947368361E-2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-5.1961578947368359E-2</v>
      </c>
      <c r="C5">
        <v>-4.2631578947368361E-2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-5.1961578947368359E-2</v>
      </c>
      <c r="C6">
        <v>-4.2631578947368361E-2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-5.1961578947368359E-2</v>
      </c>
      <c r="C7">
        <v>-4.2631578947368361E-2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-5.1961578947368359E-2</v>
      </c>
      <c r="C8">
        <v>-4.2631578947368361E-2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-5.1961578947368359E-2</v>
      </c>
      <c r="C9">
        <v>-4.2631578947368361E-2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-5.1961578947368359E-2</v>
      </c>
      <c r="C10">
        <v>-4.2631578947368361E-2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-5.1961578947368359E-2</v>
      </c>
      <c r="C11">
        <v>-4.2631578947368361E-2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-5.1961578947368359E-2</v>
      </c>
      <c r="C12">
        <v>-4.2631578947368361E-2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-5.1961578947368359E-2</v>
      </c>
      <c r="C13">
        <v>-4.2631578947368361E-2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-5.1961578947368359E-2</v>
      </c>
      <c r="C14">
        <v>-4.2631578947368361E-2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-5.1961578947368359E-2</v>
      </c>
      <c r="C15">
        <v>-4.2631578947368361E-2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-5.1961578947368359E-2</v>
      </c>
      <c r="C16">
        <v>-4.2631578947368361E-2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-5.1961578947368359E-2</v>
      </c>
      <c r="C17">
        <v>-4.2631578947368361E-2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-5.1961578947368359E-2</v>
      </c>
      <c r="C18">
        <v>-4.2631578947368361E-2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-5.1961578947368359E-2</v>
      </c>
      <c r="C19">
        <v>-4.2631578947368361E-2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-5.1961578947368359E-2</v>
      </c>
      <c r="C20">
        <v>-4.2631578947368361E-2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-5.1961578947368359E-2</v>
      </c>
      <c r="C21">
        <v>-4.2631578947368361E-2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-5.1961578947368359E-2</v>
      </c>
      <c r="C22">
        <v>-4.2631578947368361E-2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-5.1961578947368359E-2</v>
      </c>
      <c r="C23">
        <v>-4.2631578947368361E-2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-5.1961578947368359E-2</v>
      </c>
      <c r="C24">
        <v>-4.2631578947368361E-2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-5.1961578947368359E-2</v>
      </c>
      <c r="C25">
        <v>-4.2631578947368361E-2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-5.1961578947368359E-2</v>
      </c>
      <c r="C26">
        <v>-4.2631578947368361E-2</v>
      </c>
      <c r="D26">
        <v>0</v>
      </c>
      <c r="E26">
        <v>0.36499999999999999</v>
      </c>
      <c r="F26">
        <v>0</v>
      </c>
      <c r="G26">
        <v>0.19</v>
      </c>
      <c r="H2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26"/>
  <sheetViews>
    <sheetView workbookViewId="0">
      <selection activeCell="H1" sqref="H1:H26"/>
    </sheetView>
  </sheetViews>
  <sheetFormatPr defaultRowHeight="15" x14ac:dyDescent="0.25"/>
  <cols>
    <col min="1" max="1" width="3.140625" customWidth="1"/>
    <col min="2" max="3" width="14.28515625" customWidth="1"/>
    <col min="4" max="4" width="2.140625" customWidth="1"/>
    <col min="5" max="5" width="4.7109375" customWidth="1"/>
    <col min="6" max="6" width="2.140625" customWidth="1"/>
    <col min="7" max="7" width="4.710937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</v>
      </c>
    </row>
    <row r="2" spans="1:8" x14ac:dyDescent="0.25">
      <c r="A2">
        <v>2</v>
      </c>
      <c r="B2">
        <v>-3.8381578947368364E-2</v>
      </c>
      <c r="C2">
        <v>-3.9060150375939795E-2</v>
      </c>
      <c r="D2">
        <v>1</v>
      </c>
      <c r="E2">
        <v>0.19</v>
      </c>
      <c r="F2">
        <v>1</v>
      </c>
      <c r="G2">
        <v>0.14000000000000001</v>
      </c>
      <c r="H2">
        <v>1</v>
      </c>
    </row>
    <row r="3" spans="1:8" x14ac:dyDescent="0.25">
      <c r="A3">
        <v>3</v>
      </c>
      <c r="B3">
        <v>-3.8381578947368364E-2</v>
      </c>
      <c r="C3">
        <v>-3.9060150375939795E-2</v>
      </c>
      <c r="D3">
        <v>1</v>
      </c>
      <c r="E3">
        <v>0.19</v>
      </c>
      <c r="F3">
        <v>1</v>
      </c>
      <c r="G3">
        <v>0.14000000000000001</v>
      </c>
      <c r="H3">
        <v>1</v>
      </c>
    </row>
    <row r="4" spans="1:8" x14ac:dyDescent="0.25">
      <c r="A4">
        <v>4</v>
      </c>
      <c r="B4">
        <v>-3.8381578947368364E-2</v>
      </c>
      <c r="C4">
        <v>-3.9060150375939795E-2</v>
      </c>
      <c r="D4">
        <v>1</v>
      </c>
      <c r="E4">
        <v>0.19</v>
      </c>
      <c r="F4">
        <v>1</v>
      </c>
      <c r="G4">
        <v>0.14000000000000001</v>
      </c>
      <c r="H4">
        <v>1</v>
      </c>
    </row>
    <row r="5" spans="1:8" x14ac:dyDescent="0.25">
      <c r="A5">
        <v>5</v>
      </c>
      <c r="B5">
        <v>-3.8381578947368364E-2</v>
      </c>
      <c r="C5">
        <v>-3.9060150375939795E-2</v>
      </c>
      <c r="D5">
        <v>1</v>
      </c>
      <c r="E5">
        <v>0.19</v>
      </c>
      <c r="F5">
        <v>1</v>
      </c>
      <c r="G5">
        <v>0.14000000000000001</v>
      </c>
      <c r="H5">
        <v>1</v>
      </c>
    </row>
    <row r="6" spans="1:8" x14ac:dyDescent="0.25">
      <c r="A6">
        <v>6</v>
      </c>
      <c r="B6">
        <v>-3.8381578947368364E-2</v>
      </c>
      <c r="C6">
        <v>-3.9060150375939795E-2</v>
      </c>
      <c r="D6">
        <v>1</v>
      </c>
      <c r="E6">
        <v>0.19</v>
      </c>
      <c r="F6">
        <v>1</v>
      </c>
      <c r="G6">
        <v>0.14000000000000001</v>
      </c>
      <c r="H6">
        <v>1</v>
      </c>
    </row>
    <row r="7" spans="1:8" x14ac:dyDescent="0.25">
      <c r="A7">
        <v>7</v>
      </c>
      <c r="B7">
        <v>-3.8381578947368364E-2</v>
      </c>
      <c r="C7">
        <v>-3.9060150375939795E-2</v>
      </c>
      <c r="D7">
        <v>1</v>
      </c>
      <c r="E7">
        <v>0.19</v>
      </c>
      <c r="F7">
        <v>1</v>
      </c>
      <c r="G7">
        <v>0.14000000000000001</v>
      </c>
      <c r="H7">
        <v>1</v>
      </c>
    </row>
    <row r="8" spans="1:8" x14ac:dyDescent="0.25">
      <c r="A8">
        <v>8</v>
      </c>
      <c r="B8">
        <v>-3.8381578947368364E-2</v>
      </c>
      <c r="C8">
        <v>-3.9060150375939795E-2</v>
      </c>
      <c r="D8">
        <v>1</v>
      </c>
      <c r="E8">
        <v>0.19</v>
      </c>
      <c r="F8">
        <v>1</v>
      </c>
      <c r="G8">
        <v>0.14000000000000001</v>
      </c>
      <c r="H8">
        <v>1</v>
      </c>
    </row>
    <row r="9" spans="1:8" x14ac:dyDescent="0.25">
      <c r="A9">
        <v>9</v>
      </c>
      <c r="B9">
        <v>-3.8381578947368364E-2</v>
      </c>
      <c r="C9">
        <v>-3.9060150375939795E-2</v>
      </c>
      <c r="D9">
        <v>1</v>
      </c>
      <c r="E9">
        <v>0.19</v>
      </c>
      <c r="F9">
        <v>1</v>
      </c>
      <c r="G9">
        <v>0.14000000000000001</v>
      </c>
      <c r="H9">
        <v>1</v>
      </c>
    </row>
    <row r="10" spans="1:8" x14ac:dyDescent="0.25">
      <c r="A10">
        <v>10</v>
      </c>
      <c r="B10">
        <v>-3.8381578947368364E-2</v>
      </c>
      <c r="C10">
        <v>-3.9060150375939795E-2</v>
      </c>
      <c r="D10">
        <v>1</v>
      </c>
      <c r="E10">
        <v>0.19</v>
      </c>
      <c r="F10">
        <v>1</v>
      </c>
      <c r="G10">
        <v>0.14000000000000001</v>
      </c>
      <c r="H10">
        <v>1</v>
      </c>
    </row>
    <row r="11" spans="1:8" x14ac:dyDescent="0.25">
      <c r="A11">
        <v>11</v>
      </c>
      <c r="B11">
        <v>-3.8381578947368364E-2</v>
      </c>
      <c r="C11">
        <v>-3.9060150375939795E-2</v>
      </c>
      <c r="D11">
        <v>1</v>
      </c>
      <c r="E11">
        <v>0.19</v>
      </c>
      <c r="F11">
        <v>1</v>
      </c>
      <c r="G11">
        <v>0.14000000000000001</v>
      </c>
      <c r="H11">
        <v>1</v>
      </c>
    </row>
    <row r="12" spans="1:8" x14ac:dyDescent="0.25">
      <c r="A12">
        <v>12</v>
      </c>
      <c r="B12">
        <v>-3.8381578947368364E-2</v>
      </c>
      <c r="C12">
        <v>-3.9060150375939795E-2</v>
      </c>
      <c r="D12">
        <v>1</v>
      </c>
      <c r="E12">
        <v>0.19</v>
      </c>
      <c r="F12">
        <v>1</v>
      </c>
      <c r="G12">
        <v>0.14000000000000001</v>
      </c>
      <c r="H12">
        <v>1</v>
      </c>
    </row>
    <row r="13" spans="1:8" x14ac:dyDescent="0.25">
      <c r="A13">
        <v>13</v>
      </c>
      <c r="B13">
        <v>-3.8381578947368364E-2</v>
      </c>
      <c r="C13">
        <v>-3.9060150375939795E-2</v>
      </c>
      <c r="D13">
        <v>1</v>
      </c>
      <c r="E13">
        <v>0.19</v>
      </c>
      <c r="F13">
        <v>1</v>
      </c>
      <c r="G13">
        <v>0.14000000000000001</v>
      </c>
      <c r="H13">
        <v>1</v>
      </c>
    </row>
    <row r="14" spans="1:8" x14ac:dyDescent="0.25">
      <c r="A14">
        <v>14</v>
      </c>
      <c r="B14">
        <v>-3.8381578947368364E-2</v>
      </c>
      <c r="C14">
        <v>-3.9060150375939795E-2</v>
      </c>
      <c r="D14">
        <v>1</v>
      </c>
      <c r="E14">
        <v>0.19</v>
      </c>
      <c r="F14">
        <v>1</v>
      </c>
      <c r="G14">
        <v>0.14000000000000001</v>
      </c>
      <c r="H14">
        <v>1</v>
      </c>
    </row>
    <row r="15" spans="1:8" x14ac:dyDescent="0.25">
      <c r="A15">
        <v>15</v>
      </c>
      <c r="B15">
        <v>-3.8381578947368364E-2</v>
      </c>
      <c r="C15">
        <v>-3.9060150375939795E-2</v>
      </c>
      <c r="D15">
        <v>1</v>
      </c>
      <c r="E15">
        <v>0.19</v>
      </c>
      <c r="F15">
        <v>1</v>
      </c>
      <c r="G15">
        <v>0.14000000000000001</v>
      </c>
      <c r="H15">
        <v>1</v>
      </c>
    </row>
    <row r="16" spans="1:8" x14ac:dyDescent="0.25">
      <c r="A16">
        <v>16</v>
      </c>
      <c r="B16">
        <v>-3.8381578947368364E-2</v>
      </c>
      <c r="C16">
        <v>-3.9060150375939795E-2</v>
      </c>
      <c r="D16">
        <v>1</v>
      </c>
      <c r="E16">
        <v>0.19</v>
      </c>
      <c r="F16">
        <v>1</v>
      </c>
      <c r="G16">
        <v>0.14000000000000001</v>
      </c>
      <c r="H16">
        <v>1</v>
      </c>
    </row>
    <row r="17" spans="1:8" x14ac:dyDescent="0.25">
      <c r="A17">
        <v>17</v>
      </c>
      <c r="B17">
        <v>-3.8381578947368364E-2</v>
      </c>
      <c r="C17">
        <v>-3.9060150375939795E-2</v>
      </c>
      <c r="D17">
        <v>1</v>
      </c>
      <c r="E17">
        <v>0.19</v>
      </c>
      <c r="F17">
        <v>1</v>
      </c>
      <c r="G17">
        <v>0.14000000000000001</v>
      </c>
      <c r="H17">
        <v>1</v>
      </c>
    </row>
    <row r="18" spans="1:8" x14ac:dyDescent="0.25">
      <c r="A18">
        <v>18</v>
      </c>
      <c r="B18">
        <v>-3.8381578947368364E-2</v>
      </c>
      <c r="C18">
        <v>-3.9060150375939795E-2</v>
      </c>
      <c r="D18">
        <v>1</v>
      </c>
      <c r="E18">
        <v>0.19</v>
      </c>
      <c r="F18">
        <v>1</v>
      </c>
      <c r="G18">
        <v>0.14000000000000001</v>
      </c>
      <c r="H18">
        <v>1</v>
      </c>
    </row>
    <row r="19" spans="1:8" x14ac:dyDescent="0.25">
      <c r="A19">
        <v>19</v>
      </c>
      <c r="B19">
        <v>-3.8381578947368364E-2</v>
      </c>
      <c r="C19">
        <v>-3.9060150375939795E-2</v>
      </c>
      <c r="D19">
        <v>1</v>
      </c>
      <c r="E19">
        <v>0.19</v>
      </c>
      <c r="F19">
        <v>1</v>
      </c>
      <c r="G19">
        <v>0.14000000000000001</v>
      </c>
      <c r="H19">
        <v>1</v>
      </c>
    </row>
    <row r="20" spans="1:8" x14ac:dyDescent="0.25">
      <c r="A20">
        <v>20</v>
      </c>
      <c r="B20">
        <v>-3.8381578947368364E-2</v>
      </c>
      <c r="C20">
        <v>-3.9060150375939795E-2</v>
      </c>
      <c r="D20">
        <v>1</v>
      </c>
      <c r="E20">
        <v>0.19</v>
      </c>
      <c r="F20">
        <v>1</v>
      </c>
      <c r="G20">
        <v>0.14000000000000001</v>
      </c>
      <c r="H20">
        <v>1</v>
      </c>
    </row>
    <row r="21" spans="1:8" x14ac:dyDescent="0.25">
      <c r="A21">
        <v>21</v>
      </c>
      <c r="B21">
        <v>-3.8381578947368364E-2</v>
      </c>
      <c r="C21">
        <v>-3.9060150375939795E-2</v>
      </c>
      <c r="D21">
        <v>1</v>
      </c>
      <c r="E21">
        <v>0.19</v>
      </c>
      <c r="F21">
        <v>1</v>
      </c>
      <c r="G21">
        <v>0.14000000000000001</v>
      </c>
      <c r="H21">
        <v>1</v>
      </c>
    </row>
    <row r="22" spans="1:8" x14ac:dyDescent="0.25">
      <c r="A22">
        <v>22</v>
      </c>
      <c r="B22">
        <v>-3.8381578947368364E-2</v>
      </c>
      <c r="C22">
        <v>-3.9060150375939795E-2</v>
      </c>
      <c r="D22">
        <v>1</v>
      </c>
      <c r="E22">
        <v>0.19</v>
      </c>
      <c r="F22">
        <v>1</v>
      </c>
      <c r="G22">
        <v>0.14000000000000001</v>
      </c>
      <c r="H22">
        <v>1</v>
      </c>
    </row>
    <row r="23" spans="1:8" x14ac:dyDescent="0.25">
      <c r="A23">
        <v>23</v>
      </c>
      <c r="B23">
        <v>-3.8381578947368364E-2</v>
      </c>
      <c r="C23">
        <v>-3.9060150375939795E-2</v>
      </c>
      <c r="D23">
        <v>1</v>
      </c>
      <c r="E23">
        <v>0.19</v>
      </c>
      <c r="F23">
        <v>1</v>
      </c>
      <c r="G23">
        <v>0.14000000000000001</v>
      </c>
      <c r="H23">
        <v>1</v>
      </c>
    </row>
    <row r="24" spans="1:8" x14ac:dyDescent="0.25">
      <c r="A24">
        <v>24</v>
      </c>
      <c r="B24">
        <v>-3.8381578947368364E-2</v>
      </c>
      <c r="C24">
        <v>-3.9060150375939795E-2</v>
      </c>
      <c r="D24">
        <v>1</v>
      </c>
      <c r="E24">
        <v>0.19</v>
      </c>
      <c r="F24">
        <v>1</v>
      </c>
      <c r="G24">
        <v>0.14000000000000001</v>
      </c>
      <c r="H24">
        <v>1</v>
      </c>
    </row>
    <row r="25" spans="1:8" x14ac:dyDescent="0.25">
      <c r="A25">
        <v>25</v>
      </c>
      <c r="B25">
        <v>-3.8381578947368364E-2</v>
      </c>
      <c r="C25">
        <v>-3.9060150375939795E-2</v>
      </c>
      <c r="D25">
        <v>1</v>
      </c>
      <c r="E25">
        <v>0.19</v>
      </c>
      <c r="F25">
        <v>1</v>
      </c>
      <c r="G25">
        <v>0.14000000000000001</v>
      </c>
      <c r="H25">
        <v>1</v>
      </c>
    </row>
    <row r="26" spans="1:8" x14ac:dyDescent="0.25">
      <c r="A26">
        <v>26</v>
      </c>
      <c r="B26">
        <v>-3.8381578947368364E-2</v>
      </c>
      <c r="C26">
        <v>-3.9060150375939795E-2</v>
      </c>
      <c r="D26">
        <v>0</v>
      </c>
      <c r="E26">
        <v>0.19</v>
      </c>
      <c r="F26">
        <v>0</v>
      </c>
      <c r="G26">
        <v>0.14000000000000001</v>
      </c>
      <c r="H26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26"/>
  <sheetViews>
    <sheetView workbookViewId="0">
      <selection activeCell="H1" sqref="H1:H26"/>
    </sheetView>
  </sheetViews>
  <sheetFormatPr defaultRowHeight="15" x14ac:dyDescent="0.25"/>
  <cols>
    <col min="1" max="1" width="3.140625" customWidth="1"/>
    <col min="2" max="3" width="14.28515625" customWidth="1"/>
    <col min="4" max="4" width="2.140625" customWidth="1"/>
    <col min="5" max="5" width="5.7109375" customWidth="1"/>
    <col min="6" max="6" width="2.140625" customWidth="1"/>
    <col min="7" max="7" width="5.7109375" customWidth="1"/>
  </cols>
  <sheetData>
    <row r="1" spans="1:8" x14ac:dyDescent="0.25">
      <c r="A1" t="s">
        <v>103</v>
      </c>
      <c r="B1" t="s">
        <v>104</v>
      </c>
      <c r="C1" t="s">
        <v>105</v>
      </c>
      <c r="D1" t="s">
        <v>106</v>
      </c>
      <c r="E1" t="s">
        <v>107</v>
      </c>
      <c r="F1" t="s">
        <v>108</v>
      </c>
      <c r="G1" t="s">
        <v>109</v>
      </c>
      <c r="H1" t="s">
        <v>1</v>
      </c>
    </row>
    <row r="2" spans="1:8" x14ac:dyDescent="0.25">
      <c r="A2">
        <v>2</v>
      </c>
      <c r="B2">
        <v>-2.8961578947368352E-2</v>
      </c>
      <c r="C2">
        <v>-3.3599320882852224E-2</v>
      </c>
      <c r="D2">
        <v>1</v>
      </c>
      <c r="E2">
        <v>9.6000000000000002E-2</v>
      </c>
      <c r="F2">
        <v>1</v>
      </c>
      <c r="G2">
        <v>0.124</v>
      </c>
      <c r="H2">
        <v>1</v>
      </c>
    </row>
    <row r="3" spans="1:8" x14ac:dyDescent="0.25">
      <c r="A3">
        <v>3</v>
      </c>
      <c r="B3">
        <v>-2.8961578947368352E-2</v>
      </c>
      <c r="C3">
        <v>-3.3599320882852224E-2</v>
      </c>
      <c r="D3">
        <v>1</v>
      </c>
      <c r="E3">
        <v>9.6000000000000002E-2</v>
      </c>
      <c r="F3">
        <v>1</v>
      </c>
      <c r="G3">
        <v>0.124</v>
      </c>
      <c r="H3">
        <v>1</v>
      </c>
    </row>
    <row r="4" spans="1:8" x14ac:dyDescent="0.25">
      <c r="A4">
        <v>4</v>
      </c>
      <c r="B4">
        <v>-2.8961578947368352E-2</v>
      </c>
      <c r="C4">
        <v>-3.3599320882852224E-2</v>
      </c>
      <c r="D4">
        <v>1</v>
      </c>
      <c r="E4">
        <v>9.6000000000000002E-2</v>
      </c>
      <c r="F4">
        <v>1</v>
      </c>
      <c r="G4">
        <v>0.124</v>
      </c>
      <c r="H4">
        <v>1</v>
      </c>
    </row>
    <row r="5" spans="1:8" x14ac:dyDescent="0.25">
      <c r="A5">
        <v>5</v>
      </c>
      <c r="B5">
        <v>-2.8961578947368352E-2</v>
      </c>
      <c r="C5">
        <v>-3.3599320882852224E-2</v>
      </c>
      <c r="D5">
        <v>1</v>
      </c>
      <c r="E5">
        <v>9.6000000000000002E-2</v>
      </c>
      <c r="F5">
        <v>1</v>
      </c>
      <c r="G5">
        <v>0.124</v>
      </c>
      <c r="H5">
        <v>1</v>
      </c>
    </row>
    <row r="6" spans="1:8" x14ac:dyDescent="0.25">
      <c r="A6">
        <v>6</v>
      </c>
      <c r="B6">
        <v>-2.8961578947368352E-2</v>
      </c>
      <c r="C6">
        <v>-3.3599320882852224E-2</v>
      </c>
      <c r="D6">
        <v>1</v>
      </c>
      <c r="E6">
        <v>9.6000000000000002E-2</v>
      </c>
      <c r="F6">
        <v>1</v>
      </c>
      <c r="G6">
        <v>0.124</v>
      </c>
      <c r="H6">
        <v>1</v>
      </c>
    </row>
    <row r="7" spans="1:8" x14ac:dyDescent="0.25">
      <c r="A7">
        <v>7</v>
      </c>
      <c r="B7">
        <v>-2.8961578947368352E-2</v>
      </c>
      <c r="C7">
        <v>-3.3599320882852224E-2</v>
      </c>
      <c r="D7">
        <v>1</v>
      </c>
      <c r="E7">
        <v>9.6000000000000002E-2</v>
      </c>
      <c r="F7">
        <v>1</v>
      </c>
      <c r="G7">
        <v>0.124</v>
      </c>
      <c r="H7">
        <v>1</v>
      </c>
    </row>
    <row r="8" spans="1:8" x14ac:dyDescent="0.25">
      <c r="A8">
        <v>8</v>
      </c>
      <c r="B8">
        <v>-2.8961578947368352E-2</v>
      </c>
      <c r="C8">
        <v>-3.3599320882852224E-2</v>
      </c>
      <c r="D8">
        <v>1</v>
      </c>
      <c r="E8">
        <v>9.6000000000000002E-2</v>
      </c>
      <c r="F8">
        <v>1</v>
      </c>
      <c r="G8">
        <v>0.124</v>
      </c>
      <c r="H8">
        <v>1</v>
      </c>
    </row>
    <row r="9" spans="1:8" x14ac:dyDescent="0.25">
      <c r="A9">
        <v>9</v>
      </c>
      <c r="B9">
        <v>-2.8961578947368352E-2</v>
      </c>
      <c r="C9">
        <v>-3.3599320882852224E-2</v>
      </c>
      <c r="D9">
        <v>1</v>
      </c>
      <c r="E9">
        <v>9.6000000000000002E-2</v>
      </c>
      <c r="F9">
        <v>1</v>
      </c>
      <c r="G9">
        <v>0.124</v>
      </c>
      <c r="H9">
        <v>1</v>
      </c>
    </row>
    <row r="10" spans="1:8" x14ac:dyDescent="0.25">
      <c r="A10">
        <v>10</v>
      </c>
      <c r="B10">
        <v>-2.8961578947368352E-2</v>
      </c>
      <c r="C10">
        <v>-3.3599320882852224E-2</v>
      </c>
      <c r="D10">
        <v>1</v>
      </c>
      <c r="E10">
        <v>9.6000000000000002E-2</v>
      </c>
      <c r="F10">
        <v>1</v>
      </c>
      <c r="G10">
        <v>0.124</v>
      </c>
      <c r="H10">
        <v>1</v>
      </c>
    </row>
    <row r="11" spans="1:8" x14ac:dyDescent="0.25">
      <c r="A11">
        <v>11</v>
      </c>
      <c r="B11">
        <v>-2.8961578947368352E-2</v>
      </c>
      <c r="C11">
        <v>-3.3599320882852224E-2</v>
      </c>
      <c r="D11">
        <v>1</v>
      </c>
      <c r="E11">
        <v>9.6000000000000002E-2</v>
      </c>
      <c r="F11">
        <v>1</v>
      </c>
      <c r="G11">
        <v>0.124</v>
      </c>
      <c r="H11">
        <v>1</v>
      </c>
    </row>
    <row r="12" spans="1:8" x14ac:dyDescent="0.25">
      <c r="A12">
        <v>12</v>
      </c>
      <c r="B12">
        <v>-2.8961578947368352E-2</v>
      </c>
      <c r="C12">
        <v>-3.3599320882852224E-2</v>
      </c>
      <c r="D12">
        <v>1</v>
      </c>
      <c r="E12">
        <v>9.6000000000000002E-2</v>
      </c>
      <c r="F12">
        <v>1</v>
      </c>
      <c r="G12">
        <v>0.124</v>
      </c>
      <c r="H12">
        <v>1</v>
      </c>
    </row>
    <row r="13" spans="1:8" x14ac:dyDescent="0.25">
      <c r="A13">
        <v>13</v>
      </c>
      <c r="B13">
        <v>-2.8961578947368352E-2</v>
      </c>
      <c r="C13">
        <v>-3.3599320882852224E-2</v>
      </c>
      <c r="D13">
        <v>1</v>
      </c>
      <c r="E13">
        <v>9.6000000000000002E-2</v>
      </c>
      <c r="F13">
        <v>1</v>
      </c>
      <c r="G13">
        <v>0.124</v>
      </c>
      <c r="H13">
        <v>1</v>
      </c>
    </row>
    <row r="14" spans="1:8" x14ac:dyDescent="0.25">
      <c r="A14">
        <v>14</v>
      </c>
      <c r="B14">
        <v>-2.8961578947368352E-2</v>
      </c>
      <c r="C14">
        <v>-3.3599320882852224E-2</v>
      </c>
      <c r="D14">
        <v>1</v>
      </c>
      <c r="E14">
        <v>9.6000000000000002E-2</v>
      </c>
      <c r="F14">
        <v>1</v>
      </c>
      <c r="G14">
        <v>0.124</v>
      </c>
      <c r="H14">
        <v>1</v>
      </c>
    </row>
    <row r="15" spans="1:8" x14ac:dyDescent="0.25">
      <c r="A15">
        <v>15</v>
      </c>
      <c r="B15">
        <v>-2.8961578947368352E-2</v>
      </c>
      <c r="C15">
        <v>-3.3599320882852224E-2</v>
      </c>
      <c r="D15">
        <v>1</v>
      </c>
      <c r="E15">
        <v>9.6000000000000002E-2</v>
      </c>
      <c r="F15">
        <v>1</v>
      </c>
      <c r="G15">
        <v>0.124</v>
      </c>
      <c r="H15">
        <v>1</v>
      </c>
    </row>
    <row r="16" spans="1:8" x14ac:dyDescent="0.25">
      <c r="A16">
        <v>16</v>
      </c>
      <c r="B16">
        <v>-2.8961578947368352E-2</v>
      </c>
      <c r="C16">
        <v>-3.3599320882852224E-2</v>
      </c>
      <c r="D16">
        <v>1</v>
      </c>
      <c r="E16">
        <v>9.6000000000000002E-2</v>
      </c>
      <c r="F16">
        <v>1</v>
      </c>
      <c r="G16">
        <v>0.124</v>
      </c>
      <c r="H16">
        <v>1</v>
      </c>
    </row>
    <row r="17" spans="1:8" x14ac:dyDescent="0.25">
      <c r="A17">
        <v>17</v>
      </c>
      <c r="B17">
        <v>-2.8961578947368352E-2</v>
      </c>
      <c r="C17">
        <v>-3.3599320882852224E-2</v>
      </c>
      <c r="D17">
        <v>1</v>
      </c>
      <c r="E17">
        <v>9.6000000000000002E-2</v>
      </c>
      <c r="F17">
        <v>1</v>
      </c>
      <c r="G17">
        <v>0.124</v>
      </c>
      <c r="H17">
        <v>1</v>
      </c>
    </row>
    <row r="18" spans="1:8" x14ac:dyDescent="0.25">
      <c r="A18">
        <v>18</v>
      </c>
      <c r="B18">
        <v>-2.8961578947368352E-2</v>
      </c>
      <c r="C18">
        <v>-3.3599320882852224E-2</v>
      </c>
      <c r="D18">
        <v>1</v>
      </c>
      <c r="E18">
        <v>9.6000000000000002E-2</v>
      </c>
      <c r="F18">
        <v>1</v>
      </c>
      <c r="G18">
        <v>0.124</v>
      </c>
      <c r="H18">
        <v>1</v>
      </c>
    </row>
    <row r="19" spans="1:8" x14ac:dyDescent="0.25">
      <c r="A19">
        <v>19</v>
      </c>
      <c r="B19">
        <v>-2.8961578947368352E-2</v>
      </c>
      <c r="C19">
        <v>-3.3599320882852224E-2</v>
      </c>
      <c r="D19">
        <v>1</v>
      </c>
      <c r="E19">
        <v>9.6000000000000002E-2</v>
      </c>
      <c r="F19">
        <v>1</v>
      </c>
      <c r="G19">
        <v>0.124</v>
      </c>
      <c r="H19">
        <v>1</v>
      </c>
    </row>
    <row r="20" spans="1:8" x14ac:dyDescent="0.25">
      <c r="A20">
        <v>20</v>
      </c>
      <c r="B20">
        <v>-2.8961578947368352E-2</v>
      </c>
      <c r="C20">
        <v>-3.3599320882852224E-2</v>
      </c>
      <c r="D20">
        <v>1</v>
      </c>
      <c r="E20">
        <v>9.6000000000000002E-2</v>
      </c>
      <c r="F20">
        <v>1</v>
      </c>
      <c r="G20">
        <v>0.124</v>
      </c>
      <c r="H20">
        <v>1</v>
      </c>
    </row>
    <row r="21" spans="1:8" x14ac:dyDescent="0.25">
      <c r="A21">
        <v>21</v>
      </c>
      <c r="B21">
        <v>-2.8961578947368352E-2</v>
      </c>
      <c r="C21">
        <v>-3.3599320882852224E-2</v>
      </c>
      <c r="D21">
        <v>1</v>
      </c>
      <c r="E21">
        <v>9.6000000000000002E-2</v>
      </c>
      <c r="F21">
        <v>1</v>
      </c>
      <c r="G21">
        <v>0.124</v>
      </c>
      <c r="H21">
        <v>1</v>
      </c>
    </row>
    <row r="22" spans="1:8" x14ac:dyDescent="0.25">
      <c r="A22">
        <v>22</v>
      </c>
      <c r="B22">
        <v>-2.8961578947368352E-2</v>
      </c>
      <c r="C22">
        <v>-3.3599320882852224E-2</v>
      </c>
      <c r="D22">
        <v>1</v>
      </c>
      <c r="E22">
        <v>9.6000000000000002E-2</v>
      </c>
      <c r="F22">
        <v>1</v>
      </c>
      <c r="G22">
        <v>0.124</v>
      </c>
      <c r="H22">
        <v>1</v>
      </c>
    </row>
    <row r="23" spans="1:8" x14ac:dyDescent="0.25">
      <c r="A23">
        <v>23</v>
      </c>
      <c r="B23">
        <v>-2.8961578947368352E-2</v>
      </c>
      <c r="C23">
        <v>-3.3599320882852224E-2</v>
      </c>
      <c r="D23">
        <v>1</v>
      </c>
      <c r="E23">
        <v>9.6000000000000002E-2</v>
      </c>
      <c r="F23">
        <v>1</v>
      </c>
      <c r="G23">
        <v>0.124</v>
      </c>
      <c r="H23">
        <v>1</v>
      </c>
    </row>
    <row r="24" spans="1:8" x14ac:dyDescent="0.25">
      <c r="A24">
        <v>24</v>
      </c>
      <c r="B24">
        <v>-2.8961578947368352E-2</v>
      </c>
      <c r="C24">
        <v>-3.3599320882852224E-2</v>
      </c>
      <c r="D24">
        <v>1</v>
      </c>
      <c r="E24">
        <v>9.6000000000000002E-2</v>
      </c>
      <c r="F24">
        <v>1</v>
      </c>
      <c r="G24">
        <v>0.124</v>
      </c>
      <c r="H24">
        <v>1</v>
      </c>
    </row>
    <row r="25" spans="1:8" x14ac:dyDescent="0.25">
      <c r="A25">
        <v>25</v>
      </c>
      <c r="B25">
        <v>-2.8961578947368352E-2</v>
      </c>
      <c r="C25">
        <v>-3.3599320882852224E-2</v>
      </c>
      <c r="D25">
        <v>1</v>
      </c>
      <c r="E25">
        <v>9.6000000000000002E-2</v>
      </c>
      <c r="F25">
        <v>1</v>
      </c>
      <c r="G25">
        <v>0.124</v>
      </c>
      <c r="H25">
        <v>1</v>
      </c>
    </row>
    <row r="26" spans="1:8" x14ac:dyDescent="0.25">
      <c r="A26">
        <v>26</v>
      </c>
      <c r="B26">
        <v>-2.8961578947368352E-2</v>
      </c>
      <c r="C26">
        <v>-3.3599320882852224E-2</v>
      </c>
      <c r="D26">
        <v>0</v>
      </c>
      <c r="E26">
        <v>9.6000000000000002E-2</v>
      </c>
      <c r="F26">
        <v>0</v>
      </c>
      <c r="G26">
        <v>0.124</v>
      </c>
      <c r="H26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H26"/>
  <sheetViews>
    <sheetView workbookViewId="0">
      <selection activeCell="H1" sqref="H1:H26"/>
    </sheetView>
  </sheetViews>
  <sheetFormatPr defaultRowHeight="15" x14ac:dyDescent="0.25"/>
  <cols>
    <col min="1" max="1" width="3.140625" customWidth="1"/>
    <col min="2" max="3" width="14.28515625" customWidth="1"/>
    <col min="4" max="4" width="2.140625" customWidth="1"/>
    <col min="5" max="5" width="5.7109375" customWidth="1"/>
    <col min="6" max="6" width="2.140625" customWidth="1"/>
    <col min="7" max="7" width="4.7109375" customWidth="1"/>
  </cols>
  <sheetData>
    <row r="1" spans="1:8" x14ac:dyDescent="0.25">
      <c r="A1" t="s">
        <v>110</v>
      </c>
      <c r="B1" t="s">
        <v>111</v>
      </c>
      <c r="C1" t="s">
        <v>112</v>
      </c>
      <c r="D1" t="s">
        <v>113</v>
      </c>
      <c r="E1" t="s">
        <v>114</v>
      </c>
      <c r="F1" t="s">
        <v>115</v>
      </c>
      <c r="G1" t="s">
        <v>116</v>
      </c>
      <c r="H1" t="s">
        <v>1</v>
      </c>
    </row>
    <row r="2" spans="1:8" x14ac:dyDescent="0.25">
      <c r="A2">
        <v>2</v>
      </c>
      <c r="B2">
        <v>-5.1961578947368359E-2</v>
      </c>
      <c r="C2">
        <v>-4.2631578947368361E-2</v>
      </c>
      <c r="D2">
        <v>1</v>
      </c>
      <c r="E2">
        <v>0.36499999999999999</v>
      </c>
      <c r="F2">
        <v>1</v>
      </c>
      <c r="G2">
        <v>0.19</v>
      </c>
      <c r="H2">
        <v>1</v>
      </c>
    </row>
    <row r="3" spans="1:8" x14ac:dyDescent="0.25">
      <c r="A3">
        <v>3</v>
      </c>
      <c r="B3">
        <v>-5.1961578947368359E-2</v>
      </c>
      <c r="C3">
        <v>-4.2631578947368361E-2</v>
      </c>
      <c r="D3">
        <v>1</v>
      </c>
      <c r="E3">
        <v>0.36499999999999999</v>
      </c>
      <c r="F3">
        <v>1</v>
      </c>
      <c r="G3">
        <v>0.19</v>
      </c>
      <c r="H3">
        <v>1</v>
      </c>
    </row>
    <row r="4" spans="1:8" x14ac:dyDescent="0.25">
      <c r="A4">
        <v>4</v>
      </c>
      <c r="B4">
        <v>-5.1961578947368359E-2</v>
      </c>
      <c r="C4">
        <v>-4.2631578947368361E-2</v>
      </c>
      <c r="D4">
        <v>1</v>
      </c>
      <c r="E4">
        <v>0.36499999999999999</v>
      </c>
      <c r="F4">
        <v>1</v>
      </c>
      <c r="G4">
        <v>0.19</v>
      </c>
      <c r="H4">
        <v>1</v>
      </c>
    </row>
    <row r="5" spans="1:8" x14ac:dyDescent="0.25">
      <c r="A5">
        <v>5</v>
      </c>
      <c r="B5">
        <v>-5.1961578947368359E-2</v>
      </c>
      <c r="C5">
        <v>-4.2631578947368361E-2</v>
      </c>
      <c r="D5">
        <v>1</v>
      </c>
      <c r="E5">
        <v>0.36499999999999999</v>
      </c>
      <c r="F5">
        <v>1</v>
      </c>
      <c r="G5">
        <v>0.19</v>
      </c>
      <c r="H5">
        <v>1</v>
      </c>
    </row>
    <row r="6" spans="1:8" x14ac:dyDescent="0.25">
      <c r="A6">
        <v>6</v>
      </c>
      <c r="B6">
        <v>-5.1961578947368359E-2</v>
      </c>
      <c r="C6">
        <v>-4.2631578947368361E-2</v>
      </c>
      <c r="D6">
        <v>1</v>
      </c>
      <c r="E6">
        <v>0.36499999999999999</v>
      </c>
      <c r="F6">
        <v>1</v>
      </c>
      <c r="G6">
        <v>0.19</v>
      </c>
      <c r="H6">
        <v>1</v>
      </c>
    </row>
    <row r="7" spans="1:8" x14ac:dyDescent="0.25">
      <c r="A7">
        <v>7</v>
      </c>
      <c r="B7">
        <v>-5.1961578947368359E-2</v>
      </c>
      <c r="C7">
        <v>-4.2631578947368361E-2</v>
      </c>
      <c r="D7">
        <v>1</v>
      </c>
      <c r="E7">
        <v>0.36499999999999999</v>
      </c>
      <c r="F7">
        <v>1</v>
      </c>
      <c r="G7">
        <v>0.19</v>
      </c>
      <c r="H7">
        <v>1</v>
      </c>
    </row>
    <row r="8" spans="1:8" x14ac:dyDescent="0.25">
      <c r="A8">
        <v>8</v>
      </c>
      <c r="B8">
        <v>-5.1961578947368359E-2</v>
      </c>
      <c r="C8">
        <v>-4.2631578947368361E-2</v>
      </c>
      <c r="D8">
        <v>1</v>
      </c>
      <c r="E8">
        <v>0.36499999999999999</v>
      </c>
      <c r="F8">
        <v>1</v>
      </c>
      <c r="G8">
        <v>0.19</v>
      </c>
      <c r="H8">
        <v>1</v>
      </c>
    </row>
    <row r="9" spans="1:8" x14ac:dyDescent="0.25">
      <c r="A9">
        <v>9</v>
      </c>
      <c r="B9">
        <v>-5.1961578947368359E-2</v>
      </c>
      <c r="C9">
        <v>-4.2631578947368361E-2</v>
      </c>
      <c r="D9">
        <v>1</v>
      </c>
      <c r="E9">
        <v>0.36499999999999999</v>
      </c>
      <c r="F9">
        <v>1</v>
      </c>
      <c r="G9">
        <v>0.19</v>
      </c>
      <c r="H9">
        <v>1</v>
      </c>
    </row>
    <row r="10" spans="1:8" x14ac:dyDescent="0.25">
      <c r="A10">
        <v>10</v>
      </c>
      <c r="B10">
        <v>-5.1961578947368359E-2</v>
      </c>
      <c r="C10">
        <v>-4.2631578947368361E-2</v>
      </c>
      <c r="D10">
        <v>1</v>
      </c>
      <c r="E10">
        <v>0.36499999999999999</v>
      </c>
      <c r="F10">
        <v>1</v>
      </c>
      <c r="G10">
        <v>0.19</v>
      </c>
      <c r="H10">
        <v>1</v>
      </c>
    </row>
    <row r="11" spans="1:8" x14ac:dyDescent="0.25">
      <c r="A11">
        <v>11</v>
      </c>
      <c r="B11">
        <v>-5.1961578947368359E-2</v>
      </c>
      <c r="C11">
        <v>-4.2631578947368361E-2</v>
      </c>
      <c r="D11">
        <v>1</v>
      </c>
      <c r="E11">
        <v>0.36499999999999999</v>
      </c>
      <c r="F11">
        <v>1</v>
      </c>
      <c r="G11">
        <v>0.19</v>
      </c>
      <c r="H11">
        <v>1</v>
      </c>
    </row>
    <row r="12" spans="1:8" x14ac:dyDescent="0.25">
      <c r="A12">
        <v>12</v>
      </c>
      <c r="B12">
        <v>-5.1961578947368359E-2</v>
      </c>
      <c r="C12">
        <v>-4.2631578947368361E-2</v>
      </c>
      <c r="D12">
        <v>1</v>
      </c>
      <c r="E12">
        <v>0.36499999999999999</v>
      </c>
      <c r="F12">
        <v>1</v>
      </c>
      <c r="G12">
        <v>0.19</v>
      </c>
      <c r="H12">
        <v>1</v>
      </c>
    </row>
    <row r="13" spans="1:8" x14ac:dyDescent="0.25">
      <c r="A13">
        <v>13</v>
      </c>
      <c r="B13">
        <v>-5.1961578947368359E-2</v>
      </c>
      <c r="C13">
        <v>-4.2631578947368361E-2</v>
      </c>
      <c r="D13">
        <v>1</v>
      </c>
      <c r="E13">
        <v>0.36499999999999999</v>
      </c>
      <c r="F13">
        <v>1</v>
      </c>
      <c r="G13">
        <v>0.19</v>
      </c>
      <c r="H13">
        <v>1</v>
      </c>
    </row>
    <row r="14" spans="1:8" x14ac:dyDescent="0.25">
      <c r="A14">
        <v>14</v>
      </c>
      <c r="B14">
        <v>-5.1961578947368359E-2</v>
      </c>
      <c r="C14">
        <v>-4.2631578947368361E-2</v>
      </c>
      <c r="D14">
        <v>1</v>
      </c>
      <c r="E14">
        <v>0.36499999999999999</v>
      </c>
      <c r="F14">
        <v>1</v>
      </c>
      <c r="G14">
        <v>0.19</v>
      </c>
      <c r="H14">
        <v>1</v>
      </c>
    </row>
    <row r="15" spans="1:8" x14ac:dyDescent="0.25">
      <c r="A15">
        <v>15</v>
      </c>
      <c r="B15">
        <v>-5.1961578947368359E-2</v>
      </c>
      <c r="C15">
        <v>-4.2631578947368361E-2</v>
      </c>
      <c r="D15">
        <v>1</v>
      </c>
      <c r="E15">
        <v>0.36499999999999999</v>
      </c>
      <c r="F15">
        <v>1</v>
      </c>
      <c r="G15">
        <v>0.19</v>
      </c>
      <c r="H15">
        <v>1</v>
      </c>
    </row>
    <row r="16" spans="1:8" x14ac:dyDescent="0.25">
      <c r="A16">
        <v>16</v>
      </c>
      <c r="B16">
        <v>-5.1961578947368359E-2</v>
      </c>
      <c r="C16">
        <v>-4.2631578947368361E-2</v>
      </c>
      <c r="D16">
        <v>1</v>
      </c>
      <c r="E16">
        <v>0.36499999999999999</v>
      </c>
      <c r="F16">
        <v>1</v>
      </c>
      <c r="G16">
        <v>0.19</v>
      </c>
      <c r="H16">
        <v>1</v>
      </c>
    </row>
    <row r="17" spans="1:8" x14ac:dyDescent="0.25">
      <c r="A17">
        <v>17</v>
      </c>
      <c r="B17">
        <v>-5.1961578947368359E-2</v>
      </c>
      <c r="C17">
        <v>-4.2631578947368361E-2</v>
      </c>
      <c r="D17">
        <v>1</v>
      </c>
      <c r="E17">
        <v>0.36499999999999999</v>
      </c>
      <c r="F17">
        <v>1</v>
      </c>
      <c r="G17">
        <v>0.19</v>
      </c>
      <c r="H17">
        <v>1</v>
      </c>
    </row>
    <row r="18" spans="1:8" x14ac:dyDescent="0.25">
      <c r="A18">
        <v>18</v>
      </c>
      <c r="B18">
        <v>-5.1961578947368359E-2</v>
      </c>
      <c r="C18">
        <v>-4.2631578947368361E-2</v>
      </c>
      <c r="D18">
        <v>1</v>
      </c>
      <c r="E18">
        <v>0.36499999999999999</v>
      </c>
      <c r="F18">
        <v>1</v>
      </c>
      <c r="G18">
        <v>0.19</v>
      </c>
      <c r="H18">
        <v>1</v>
      </c>
    </row>
    <row r="19" spans="1:8" x14ac:dyDescent="0.25">
      <c r="A19">
        <v>19</v>
      </c>
      <c r="B19">
        <v>-5.1961578947368359E-2</v>
      </c>
      <c r="C19">
        <v>-4.2631578947368361E-2</v>
      </c>
      <c r="D19">
        <v>1</v>
      </c>
      <c r="E19">
        <v>0.36499999999999999</v>
      </c>
      <c r="F19">
        <v>1</v>
      </c>
      <c r="G19">
        <v>0.19</v>
      </c>
      <c r="H19">
        <v>1</v>
      </c>
    </row>
    <row r="20" spans="1:8" x14ac:dyDescent="0.25">
      <c r="A20">
        <v>20</v>
      </c>
      <c r="B20">
        <v>-5.1961578947368359E-2</v>
      </c>
      <c r="C20">
        <v>-4.2631578947368361E-2</v>
      </c>
      <c r="D20">
        <v>1</v>
      </c>
      <c r="E20">
        <v>0.36499999999999999</v>
      </c>
      <c r="F20">
        <v>1</v>
      </c>
      <c r="G20">
        <v>0.19</v>
      </c>
      <c r="H20">
        <v>1</v>
      </c>
    </row>
    <row r="21" spans="1:8" x14ac:dyDescent="0.25">
      <c r="A21">
        <v>21</v>
      </c>
      <c r="B21">
        <v>-5.1961578947368359E-2</v>
      </c>
      <c r="C21">
        <v>-4.2631578947368361E-2</v>
      </c>
      <c r="D21">
        <v>1</v>
      </c>
      <c r="E21">
        <v>0.36499999999999999</v>
      </c>
      <c r="F21">
        <v>1</v>
      </c>
      <c r="G21">
        <v>0.19</v>
      </c>
      <c r="H21">
        <v>1</v>
      </c>
    </row>
    <row r="22" spans="1:8" x14ac:dyDescent="0.25">
      <c r="A22">
        <v>22</v>
      </c>
      <c r="B22">
        <v>-5.1961578947368359E-2</v>
      </c>
      <c r="C22">
        <v>-4.2631578947368361E-2</v>
      </c>
      <c r="D22">
        <v>1</v>
      </c>
      <c r="E22">
        <v>0.36499999999999999</v>
      </c>
      <c r="F22">
        <v>1</v>
      </c>
      <c r="G22">
        <v>0.19</v>
      </c>
      <c r="H22">
        <v>1</v>
      </c>
    </row>
    <row r="23" spans="1:8" x14ac:dyDescent="0.25">
      <c r="A23">
        <v>23</v>
      </c>
      <c r="B23">
        <v>-5.1961578947368359E-2</v>
      </c>
      <c r="C23">
        <v>-4.2631578947368361E-2</v>
      </c>
      <c r="D23">
        <v>1</v>
      </c>
      <c r="E23">
        <v>0.36499999999999999</v>
      </c>
      <c r="F23">
        <v>1</v>
      </c>
      <c r="G23">
        <v>0.19</v>
      </c>
      <c r="H23">
        <v>1</v>
      </c>
    </row>
    <row r="24" spans="1:8" x14ac:dyDescent="0.25">
      <c r="A24">
        <v>24</v>
      </c>
      <c r="B24">
        <v>-5.1961578947368359E-2</v>
      </c>
      <c r="C24">
        <v>-4.2631578947368361E-2</v>
      </c>
      <c r="D24">
        <v>1</v>
      </c>
      <c r="E24">
        <v>0.36499999999999999</v>
      </c>
      <c r="F24">
        <v>1</v>
      </c>
      <c r="G24">
        <v>0.19</v>
      </c>
      <c r="H24">
        <v>1</v>
      </c>
    </row>
    <row r="25" spans="1:8" x14ac:dyDescent="0.25">
      <c r="A25">
        <v>25</v>
      </c>
      <c r="B25">
        <v>-5.1961578947368359E-2</v>
      </c>
      <c r="C25">
        <v>-4.2631578947368361E-2</v>
      </c>
      <c r="D25">
        <v>1</v>
      </c>
      <c r="E25">
        <v>0.36499999999999999</v>
      </c>
      <c r="F25">
        <v>1</v>
      </c>
      <c r="G25">
        <v>0.19</v>
      </c>
      <c r="H25">
        <v>1</v>
      </c>
    </row>
    <row r="26" spans="1:8" x14ac:dyDescent="0.25">
      <c r="A26">
        <v>26</v>
      </c>
      <c r="B26">
        <v>-5.1961578947368359E-2</v>
      </c>
      <c r="C26">
        <v>-4.2631578947368361E-2</v>
      </c>
      <c r="D26">
        <v>0</v>
      </c>
      <c r="E26">
        <v>0.36499999999999999</v>
      </c>
      <c r="F26">
        <v>0</v>
      </c>
      <c r="G26">
        <v>0.19</v>
      </c>
      <c r="H26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29328E-1B7E-425F-8623-054225BFCC9C}">
  <dimension ref="A1:G26"/>
  <sheetViews>
    <sheetView zoomScale="145" zoomScaleNormal="145" workbookViewId="0">
      <selection activeCell="C1" sqref="C1:C1048576"/>
    </sheetView>
  </sheetViews>
  <sheetFormatPr defaultRowHeight="15" x14ac:dyDescent="0.25"/>
  <cols>
    <col min="1" max="1" width="3.140625" customWidth="1"/>
    <col min="2" max="2" width="13.42578125" bestFit="1" customWidth="1"/>
    <col min="3" max="3" width="15.7109375" bestFit="1" customWidth="1"/>
    <col min="7" max="7" width="13.42578125" bestFit="1" customWidth="1"/>
  </cols>
  <sheetData>
    <row r="1" spans="1:7" x14ac:dyDescent="0.25">
      <c r="A1" s="1" t="s">
        <v>2</v>
      </c>
      <c r="B1" s="2" t="s">
        <v>117</v>
      </c>
      <c r="C1" s="2" t="s">
        <v>1</v>
      </c>
      <c r="D1" s="2" t="s">
        <v>118</v>
      </c>
      <c r="E1" s="2" t="s">
        <v>119</v>
      </c>
      <c r="F1" s="2" t="s">
        <v>120</v>
      </c>
      <c r="G1" s="2" t="s">
        <v>121</v>
      </c>
    </row>
    <row r="2" spans="1:7" x14ac:dyDescent="0.25">
      <c r="A2" s="3">
        <v>2</v>
      </c>
      <c r="B2" s="3">
        <f>LN(E2)</f>
        <v>4.8790164169432049E-2</v>
      </c>
      <c r="C2" s="3">
        <v>1</v>
      </c>
      <c r="D2" s="3">
        <v>0</v>
      </c>
      <c r="E2" s="3">
        <f>EXP([1]Baseline!P2)</f>
        <v>1.05</v>
      </c>
      <c r="F2" s="3">
        <f>EXP([1]Baseline!P2)</f>
        <v>1.05</v>
      </c>
      <c r="G2" s="3">
        <f>LN(MIN(1,E2^2))</f>
        <v>0</v>
      </c>
    </row>
    <row r="3" spans="1:7" x14ac:dyDescent="0.25">
      <c r="A3" s="3">
        <v>3</v>
      </c>
      <c r="B3" s="3">
        <f t="shared" ref="B3:B26" si="0">LN(E3)</f>
        <v>2.7055672023425903E-2</v>
      </c>
      <c r="C3" s="3">
        <v>1</v>
      </c>
      <c r="D3" s="3">
        <v>0</v>
      </c>
      <c r="E3" s="3">
        <f>EXP([1]Baseline!P3)*0.95^($A3/$A$3)</f>
        <v>1.027425</v>
      </c>
      <c r="F3" s="3">
        <f>EXP([1]Baseline!P3)</f>
        <v>1.0815000000000001</v>
      </c>
      <c r="G3" s="3">
        <f t="shared" ref="G3:G26" si="1">LN(MIN(1,E3^2))</f>
        <v>0</v>
      </c>
    </row>
    <row r="4" spans="1:7" x14ac:dyDescent="0.25">
      <c r="A4" s="3">
        <v>4</v>
      </c>
      <c r="B4" s="3">
        <f t="shared" si="0"/>
        <v>2.9760534523755506E-2</v>
      </c>
      <c r="C4" s="3">
        <v>1</v>
      </c>
      <c r="D4" s="3">
        <v>0</v>
      </c>
      <c r="E4" s="3">
        <f>EXP([1]Baseline!P4)*0.95^(A4/$A$3)</f>
        <v>1.0302078052104824</v>
      </c>
      <c r="F4" s="3">
        <f>EXP([1]Baseline!P4)</f>
        <v>1.1031300000000002</v>
      </c>
      <c r="G4" s="3">
        <f t="shared" si="1"/>
        <v>0</v>
      </c>
    </row>
    <row r="5" spans="1:7" x14ac:dyDescent="0.25">
      <c r="A5" s="3">
        <v>5</v>
      </c>
      <c r="B5" s="3">
        <f t="shared" si="0"/>
        <v>2.2613100581073256E-2</v>
      </c>
      <c r="C5" s="3">
        <v>1</v>
      </c>
      <c r="D5" s="3">
        <v>0</v>
      </c>
      <c r="E5" s="3">
        <f>EXP([1]Baseline!P5)*0.95^(A5/$A$3)</f>
        <v>1.0228707148947611</v>
      </c>
      <c r="F5" s="3">
        <f>EXP([1]Baseline!P5)</f>
        <v>1.1141613000000001</v>
      </c>
      <c r="G5" s="3">
        <f t="shared" si="1"/>
        <v>0</v>
      </c>
    </row>
    <row r="6" spans="1:7" x14ac:dyDescent="0.25">
      <c r="A6" s="3">
        <v>6</v>
      </c>
      <c r="B6" s="3">
        <f t="shared" si="0"/>
        <v>5.5153357852233045E-3</v>
      </c>
      <c r="C6" s="3">
        <v>1</v>
      </c>
      <c r="D6" s="3">
        <v>0</v>
      </c>
      <c r="E6" s="3">
        <f>EXP([1]Baseline!P6)*0.95^(A6/$A$3)</f>
        <v>1.0055305732500002</v>
      </c>
      <c r="F6" s="3">
        <f>EXP([1]Baseline!P6)</f>
        <v>1.1141613000000001</v>
      </c>
      <c r="G6" s="3">
        <f t="shared" si="1"/>
        <v>0</v>
      </c>
    </row>
    <row r="7" spans="1:7" x14ac:dyDescent="0.25">
      <c r="A7" s="3">
        <v>7</v>
      </c>
      <c r="B7" s="3">
        <f t="shared" si="0"/>
        <v>-2.1632764864128393E-2</v>
      </c>
      <c r="C7" s="3">
        <v>1</v>
      </c>
      <c r="D7" s="3">
        <v>0</v>
      </c>
      <c r="E7" s="3">
        <f>EXP([1]Baseline!P7)*0.95^(A7/$A$3)</f>
        <v>0.97859954520846326</v>
      </c>
      <c r="F7" s="3">
        <f>EXP([1]Baseline!P7)</f>
        <v>1.1030196870000002</v>
      </c>
      <c r="G7" s="3">
        <f t="shared" si="1"/>
        <v>-4.3265529728256806E-2</v>
      </c>
    </row>
    <row r="8" spans="1:7" x14ac:dyDescent="0.25">
      <c r="A8" s="3">
        <v>8</v>
      </c>
      <c r="B8" s="3">
        <f t="shared" si="0"/>
        <v>-0.18415169436190337</v>
      </c>
      <c r="C8" s="3">
        <v>1</v>
      </c>
      <c r="D8" s="3">
        <v>0</v>
      </c>
      <c r="E8" s="3">
        <f>MAX(0.05,E7*0.85)</f>
        <v>0.83180961342719373</v>
      </c>
      <c r="F8" s="3">
        <f>EXP([1]Baseline!P8)</f>
        <v>1.0809592932600001</v>
      </c>
      <c r="G8" s="3">
        <f t="shared" si="1"/>
        <v>-0.3683033887238068</v>
      </c>
    </row>
    <row r="9" spans="1:7" x14ac:dyDescent="0.25">
      <c r="A9" s="3">
        <v>9</v>
      </c>
      <c r="B9" s="3">
        <f t="shared" si="0"/>
        <v>-0.34667062385967828</v>
      </c>
      <c r="C9" s="3">
        <v>1</v>
      </c>
      <c r="D9" s="3">
        <v>0</v>
      </c>
      <c r="E9" s="3">
        <f t="shared" ref="E9:E26" si="2">MAX(0.05,E8*0.85)</f>
        <v>0.70703817141311465</v>
      </c>
      <c r="F9" s="3">
        <f>EXP([1]Baseline!P9)</f>
        <v>1.0485305144622001</v>
      </c>
      <c r="G9" s="3">
        <f t="shared" si="1"/>
        <v>-0.69334124771935668</v>
      </c>
    </row>
    <row r="10" spans="1:7" x14ac:dyDescent="0.25">
      <c r="A10" s="3">
        <v>10</v>
      </c>
      <c r="B10" s="3">
        <f t="shared" si="0"/>
        <v>-0.5091895533574532</v>
      </c>
      <c r="C10" s="3">
        <v>1</v>
      </c>
      <c r="D10" s="3">
        <v>0</v>
      </c>
      <c r="E10" s="3">
        <f t="shared" si="2"/>
        <v>0.60098244570114745</v>
      </c>
      <c r="F10" s="3">
        <f>EXP([1]Baseline!P10)</f>
        <v>1.0065892938837122</v>
      </c>
      <c r="G10" s="3">
        <f t="shared" si="1"/>
        <v>-1.0183791067149064</v>
      </c>
    </row>
    <row r="11" spans="1:7" x14ac:dyDescent="0.25">
      <c r="A11" s="3">
        <v>11</v>
      </c>
      <c r="B11" s="3">
        <f t="shared" si="0"/>
        <v>-0.67170848285522811</v>
      </c>
      <c r="C11" s="3">
        <v>1</v>
      </c>
      <c r="D11" s="3">
        <v>0</v>
      </c>
      <c r="E11" s="3">
        <f t="shared" si="2"/>
        <v>0.51083507884597534</v>
      </c>
      <c r="F11" s="3">
        <f>EXP([1]Baseline!P11)</f>
        <v>0.95625982918952668</v>
      </c>
      <c r="G11" s="3">
        <f t="shared" si="1"/>
        <v>-1.3434169657104562</v>
      </c>
    </row>
    <row r="12" spans="1:7" x14ac:dyDescent="0.25">
      <c r="A12" s="3">
        <v>12</v>
      </c>
      <c r="B12" s="3">
        <f t="shared" si="0"/>
        <v>-0.83422741235300313</v>
      </c>
      <c r="C12" s="3">
        <v>1</v>
      </c>
      <c r="D12" s="3">
        <v>0</v>
      </c>
      <c r="E12" s="3">
        <f t="shared" si="2"/>
        <v>0.43420981701907901</v>
      </c>
      <c r="F12" s="3">
        <f>EXP([1]Baseline!P12)</f>
        <v>0.8988842394381551</v>
      </c>
      <c r="G12" s="3">
        <f t="shared" si="1"/>
        <v>-1.6684548247060063</v>
      </c>
    </row>
    <row r="13" spans="1:7" x14ac:dyDescent="0.25">
      <c r="A13" s="3">
        <v>13</v>
      </c>
      <c r="B13" s="3">
        <f t="shared" si="0"/>
        <v>-0.99674634185077793</v>
      </c>
      <c r="C13" s="3">
        <v>1</v>
      </c>
      <c r="D13" s="3">
        <v>0</v>
      </c>
      <c r="E13" s="3">
        <f t="shared" si="2"/>
        <v>0.36907834446621718</v>
      </c>
      <c r="F13" s="3">
        <f>EXP([1]Baseline!P13)</f>
        <v>0.83596234267748426</v>
      </c>
      <c r="G13" s="3">
        <f t="shared" si="1"/>
        <v>-1.9934926837015561</v>
      </c>
    </row>
    <row r="14" spans="1:7" x14ac:dyDescent="0.25">
      <c r="A14" s="3">
        <v>14</v>
      </c>
      <c r="B14" s="3">
        <f t="shared" si="0"/>
        <v>-1.159265271348553</v>
      </c>
      <c r="C14" s="3">
        <v>1</v>
      </c>
      <c r="D14" s="3">
        <v>0</v>
      </c>
      <c r="E14" s="3">
        <f t="shared" si="2"/>
        <v>0.31371659279628461</v>
      </c>
      <c r="F14" s="3">
        <f>EXP([1]Baseline!P14)</f>
        <v>0.76908535526328559</v>
      </c>
      <c r="G14" s="3">
        <f t="shared" si="1"/>
        <v>-2.3185305426971059</v>
      </c>
    </row>
    <row r="15" spans="1:7" x14ac:dyDescent="0.25">
      <c r="A15" s="3">
        <v>15</v>
      </c>
      <c r="B15" s="3">
        <f t="shared" si="0"/>
        <v>-1.3217842008463279</v>
      </c>
      <c r="C15" s="3">
        <v>1</v>
      </c>
      <c r="D15" s="3">
        <v>0</v>
      </c>
      <c r="E15" s="3">
        <f t="shared" si="2"/>
        <v>0.26665910387684189</v>
      </c>
      <c r="F15" s="3">
        <f>EXP([1]Baseline!P15)</f>
        <v>0.69986767328958988</v>
      </c>
      <c r="G15" s="3">
        <f t="shared" si="1"/>
        <v>-2.6435684016926557</v>
      </c>
    </row>
    <row r="16" spans="1:7" x14ac:dyDescent="0.25">
      <c r="A16" s="3">
        <v>16</v>
      </c>
      <c r="B16" s="3">
        <f t="shared" si="0"/>
        <v>-1.4843031303441028</v>
      </c>
      <c r="C16" s="3">
        <v>1</v>
      </c>
      <c r="D16" s="3">
        <v>0</v>
      </c>
      <c r="E16" s="3">
        <f t="shared" si="2"/>
        <v>0.22666023829531559</v>
      </c>
      <c r="F16" s="3">
        <f>EXP([1]Baseline!P16)</f>
        <v>0.62988090596063095</v>
      </c>
      <c r="G16" s="3">
        <f t="shared" si="1"/>
        <v>-2.9686062606882055</v>
      </c>
    </row>
    <row r="17" spans="1:7" x14ac:dyDescent="0.25">
      <c r="A17" s="3">
        <v>17</v>
      </c>
      <c r="B17" s="3">
        <f t="shared" si="0"/>
        <v>-1.6468220598418779</v>
      </c>
      <c r="C17" s="3">
        <v>1</v>
      </c>
      <c r="D17" s="3">
        <v>0</v>
      </c>
      <c r="E17" s="3">
        <f t="shared" si="2"/>
        <v>0.19266120255101823</v>
      </c>
      <c r="F17" s="3">
        <f>EXP([1]Baseline!P17)</f>
        <v>0.56059400630496159</v>
      </c>
      <c r="G17" s="3">
        <f t="shared" si="1"/>
        <v>-3.2936441196837558</v>
      </c>
    </row>
    <row r="18" spans="1:7" x14ac:dyDescent="0.25">
      <c r="A18" s="3">
        <v>18</v>
      </c>
      <c r="B18" s="3">
        <f t="shared" si="0"/>
        <v>-1.8093409893396528</v>
      </c>
      <c r="C18" s="3">
        <v>1</v>
      </c>
      <c r="D18" s="3">
        <v>0</v>
      </c>
      <c r="E18" s="3">
        <f t="shared" si="2"/>
        <v>0.1637620221683655</v>
      </c>
      <c r="F18" s="3">
        <f>EXP([1]Baseline!P18)</f>
        <v>0.4933227255483662</v>
      </c>
      <c r="G18" s="3">
        <f t="shared" si="1"/>
        <v>-3.6186819786793056</v>
      </c>
    </row>
    <row r="19" spans="1:7" x14ac:dyDescent="0.25">
      <c r="A19" s="3">
        <v>19</v>
      </c>
      <c r="B19" s="3">
        <f t="shared" si="0"/>
        <v>-1.9718599188374277</v>
      </c>
      <c r="C19" s="3">
        <v>1</v>
      </c>
      <c r="D19" s="3">
        <v>0</v>
      </c>
      <c r="E19" s="3">
        <f t="shared" si="2"/>
        <v>0.13919771884311066</v>
      </c>
      <c r="F19" s="3">
        <f>EXP([1]Baseline!P19)</f>
        <v>0.42919077122707866</v>
      </c>
      <c r="G19" s="3">
        <f t="shared" si="1"/>
        <v>-3.9437198376748555</v>
      </c>
    </row>
    <row r="20" spans="1:7" x14ac:dyDescent="0.25">
      <c r="A20" s="3">
        <v>20</v>
      </c>
      <c r="B20" s="3">
        <f t="shared" si="0"/>
        <v>-2.1343788483352029</v>
      </c>
      <c r="C20" s="3">
        <v>1</v>
      </c>
      <c r="D20" s="3">
        <v>0</v>
      </c>
      <c r="E20" s="3">
        <f t="shared" si="2"/>
        <v>0.11831806101664406</v>
      </c>
      <c r="F20" s="3">
        <f>EXP([1]Baseline!P20)</f>
        <v>0.36910406325528766</v>
      </c>
      <c r="G20" s="3">
        <f t="shared" si="1"/>
        <v>-4.2687576966704057</v>
      </c>
    </row>
    <row r="21" spans="1:7" x14ac:dyDescent="0.25">
      <c r="A21" s="3">
        <v>21</v>
      </c>
      <c r="B21" s="3">
        <f t="shared" si="0"/>
        <v>-2.2968977778329775</v>
      </c>
      <c r="C21" s="3">
        <v>1</v>
      </c>
      <c r="D21" s="3">
        <v>0</v>
      </c>
      <c r="E21" s="3">
        <f t="shared" si="2"/>
        <v>0.10057035186414745</v>
      </c>
      <c r="F21" s="3">
        <f>EXP([1]Baseline!P21)</f>
        <v>0.31373845376699455</v>
      </c>
      <c r="G21" s="3">
        <f t="shared" si="1"/>
        <v>-4.5937955556659551</v>
      </c>
    </row>
    <row r="22" spans="1:7" x14ac:dyDescent="0.25">
      <c r="A22" s="3">
        <v>22</v>
      </c>
      <c r="B22" s="3">
        <f t="shared" si="0"/>
        <v>-2.4594167073307527</v>
      </c>
      <c r="C22" s="3">
        <v>1</v>
      </c>
      <c r="D22" s="3">
        <v>0</v>
      </c>
      <c r="E22" s="3">
        <f t="shared" si="2"/>
        <v>8.5484799084525331E-2</v>
      </c>
      <c r="F22" s="3">
        <f>EXP([1]Baseline!P22)</f>
        <v>0.26354030116427546</v>
      </c>
      <c r="G22" s="3">
        <f t="shared" si="1"/>
        <v>-4.9188334146615054</v>
      </c>
    </row>
    <row r="23" spans="1:7" x14ac:dyDescent="0.25">
      <c r="A23" s="3">
        <v>23</v>
      </c>
      <c r="B23" s="3">
        <f t="shared" si="0"/>
        <v>-2.6219356368285274</v>
      </c>
      <c r="C23" s="3">
        <v>1</v>
      </c>
      <c r="D23" s="3">
        <v>0</v>
      </c>
      <c r="E23" s="3">
        <f t="shared" si="2"/>
        <v>7.2662079221846532E-2</v>
      </c>
      <c r="F23" s="3">
        <f>EXP([1]Baseline!P23)</f>
        <v>0.25</v>
      </c>
      <c r="G23" s="3">
        <f t="shared" si="1"/>
        <v>-5.2438712736570547</v>
      </c>
    </row>
    <row r="24" spans="1:7" x14ac:dyDescent="0.25">
      <c r="A24" s="3">
        <v>24</v>
      </c>
      <c r="B24" s="3">
        <f t="shared" si="0"/>
        <v>-2.7844545663263025</v>
      </c>
      <c r="C24" s="3">
        <v>1</v>
      </c>
      <c r="D24" s="3">
        <v>0</v>
      </c>
      <c r="E24" s="3">
        <f t="shared" si="2"/>
        <v>6.1762767338569551E-2</v>
      </c>
      <c r="F24" s="3">
        <f>EXP([1]Baseline!P24)</f>
        <v>0.25</v>
      </c>
      <c r="G24" s="3">
        <f t="shared" si="1"/>
        <v>-5.568909132652605</v>
      </c>
    </row>
    <row r="25" spans="1:7" x14ac:dyDescent="0.25">
      <c r="A25" s="3">
        <v>25</v>
      </c>
      <c r="B25" s="3">
        <f t="shared" si="0"/>
        <v>-2.9469734958240772</v>
      </c>
      <c r="C25" s="3">
        <v>1</v>
      </c>
      <c r="D25" s="3">
        <v>0</v>
      </c>
      <c r="E25" s="3">
        <f t="shared" si="2"/>
        <v>5.2498352237784117E-2</v>
      </c>
      <c r="F25" s="3">
        <f>EXP([1]Baseline!P25)</f>
        <v>0.25</v>
      </c>
      <c r="G25" s="3">
        <f t="shared" si="1"/>
        <v>-5.8939469916481544</v>
      </c>
    </row>
    <row r="26" spans="1:7" x14ac:dyDescent="0.25">
      <c r="A26" s="3">
        <v>26</v>
      </c>
      <c r="B26" s="3">
        <f t="shared" si="0"/>
        <v>-2.9957322735539909</v>
      </c>
      <c r="C26" s="3">
        <v>1</v>
      </c>
      <c r="D26" s="3">
        <v>0</v>
      </c>
      <c r="E26" s="3">
        <f t="shared" si="2"/>
        <v>0.05</v>
      </c>
      <c r="F26" s="3">
        <f>EXP([1]Baseline!P26)</f>
        <v>0.25</v>
      </c>
      <c r="G26" s="3">
        <f t="shared" si="1"/>
        <v>-5.9914645471079817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CA9AE7-5CB0-428D-B207-01FD4452B003}">
  <dimension ref="A1:C26"/>
  <sheetViews>
    <sheetView workbookViewId="0">
      <selection activeCell="C1" sqref="C1:C1048576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2</v>
      </c>
      <c r="B1" s="2" t="s">
        <v>122</v>
      </c>
      <c r="C1" s="2" t="s">
        <v>1</v>
      </c>
    </row>
    <row r="2" spans="1:3" x14ac:dyDescent="0.25">
      <c r="A2" s="3">
        <f>[1]Baseline!A2</f>
        <v>2</v>
      </c>
      <c r="B2">
        <v>0</v>
      </c>
      <c r="C2" s="3">
        <v>1</v>
      </c>
    </row>
    <row r="3" spans="1:3" x14ac:dyDescent="0.25">
      <c r="A3" s="3">
        <f>[1]Baseline!A3</f>
        <v>3</v>
      </c>
      <c r="B3">
        <v>0</v>
      </c>
      <c r="C3" s="3">
        <v>1</v>
      </c>
    </row>
    <row r="4" spans="1:3" x14ac:dyDescent="0.25">
      <c r="A4" s="3">
        <f>[1]Baseline!A4</f>
        <v>4</v>
      </c>
      <c r="B4">
        <v>0</v>
      </c>
      <c r="C4" s="3">
        <v>1</v>
      </c>
    </row>
    <row r="5" spans="1:3" x14ac:dyDescent="0.25">
      <c r="A5" s="3">
        <f>[1]Baseline!A5</f>
        <v>5</v>
      </c>
      <c r="B5">
        <v>0</v>
      </c>
      <c r="C5" s="3">
        <v>1</v>
      </c>
    </row>
    <row r="6" spans="1:3" x14ac:dyDescent="0.25">
      <c r="A6" s="3">
        <f>[1]Baseline!A6</f>
        <v>6</v>
      </c>
      <c r="B6">
        <v>0</v>
      </c>
      <c r="C6" s="3">
        <v>1</v>
      </c>
    </row>
    <row r="7" spans="1:3" x14ac:dyDescent="0.25">
      <c r="A7" s="3">
        <f>[1]Baseline!A7</f>
        <v>7</v>
      </c>
      <c r="B7">
        <v>0</v>
      </c>
      <c r="C7" s="3">
        <v>1</v>
      </c>
    </row>
    <row r="8" spans="1:3" x14ac:dyDescent="0.25">
      <c r="A8" s="3">
        <f>[1]Baseline!A8</f>
        <v>8</v>
      </c>
      <c r="B8">
        <v>0</v>
      </c>
      <c r="C8" s="3">
        <v>1</v>
      </c>
    </row>
    <row r="9" spans="1:3" x14ac:dyDescent="0.25">
      <c r="A9" s="3">
        <f>[1]Baseline!A9</f>
        <v>9</v>
      </c>
      <c r="B9">
        <v>0</v>
      </c>
      <c r="C9" s="3">
        <v>1</v>
      </c>
    </row>
    <row r="10" spans="1:3" x14ac:dyDescent="0.25">
      <c r="A10" s="3">
        <f>[1]Baseline!A10</f>
        <v>10</v>
      </c>
      <c r="B10">
        <v>0</v>
      </c>
      <c r="C10" s="3">
        <v>1</v>
      </c>
    </row>
    <row r="11" spans="1:3" x14ac:dyDescent="0.25">
      <c r="A11" s="3">
        <f>[1]Baseline!A11</f>
        <v>11</v>
      </c>
      <c r="B11">
        <v>0</v>
      </c>
      <c r="C11" s="3">
        <v>1</v>
      </c>
    </row>
    <row r="12" spans="1:3" x14ac:dyDescent="0.25">
      <c r="A12" s="3">
        <f>[1]Baseline!A12</f>
        <v>12</v>
      </c>
      <c r="B12">
        <v>0</v>
      </c>
      <c r="C12" s="3">
        <v>1</v>
      </c>
    </row>
    <row r="13" spans="1:3" x14ac:dyDescent="0.25">
      <c r="A13" s="3">
        <f>[1]Baseline!A13</f>
        <v>13</v>
      </c>
      <c r="B13">
        <v>0</v>
      </c>
      <c r="C13" s="3">
        <v>1</v>
      </c>
    </row>
    <row r="14" spans="1:3" x14ac:dyDescent="0.25">
      <c r="A14" s="3">
        <f>[1]Baseline!A14</f>
        <v>14</v>
      </c>
      <c r="B14">
        <v>0</v>
      </c>
      <c r="C14" s="3">
        <v>1</v>
      </c>
    </row>
    <row r="15" spans="1:3" x14ac:dyDescent="0.25">
      <c r="A15" s="3">
        <f>[1]Baseline!A15</f>
        <v>15</v>
      </c>
      <c r="B15">
        <v>0</v>
      </c>
      <c r="C15" s="3">
        <v>1</v>
      </c>
    </row>
    <row r="16" spans="1:3" x14ac:dyDescent="0.25">
      <c r="A16" s="3">
        <f>[1]Baseline!A16</f>
        <v>16</v>
      </c>
      <c r="B16">
        <v>0</v>
      </c>
      <c r="C16" s="3">
        <v>1</v>
      </c>
    </row>
    <row r="17" spans="1:3" x14ac:dyDescent="0.25">
      <c r="A17" s="3">
        <f>[1]Baseline!A17</f>
        <v>17</v>
      </c>
      <c r="B17">
        <v>0</v>
      </c>
      <c r="C17" s="3">
        <v>1</v>
      </c>
    </row>
    <row r="18" spans="1:3" x14ac:dyDescent="0.25">
      <c r="A18" s="3">
        <f>[1]Baseline!A18</f>
        <v>18</v>
      </c>
      <c r="B18">
        <v>0</v>
      </c>
      <c r="C18" s="3">
        <v>1</v>
      </c>
    </row>
    <row r="19" spans="1:3" x14ac:dyDescent="0.25">
      <c r="A19" s="3">
        <f>[1]Baseline!A19</f>
        <v>19</v>
      </c>
      <c r="B19">
        <v>0</v>
      </c>
      <c r="C19" s="3">
        <v>1</v>
      </c>
    </row>
    <row r="20" spans="1:3" x14ac:dyDescent="0.25">
      <c r="A20" s="3">
        <f>[1]Baseline!A20</f>
        <v>20</v>
      </c>
      <c r="B20">
        <v>0</v>
      </c>
      <c r="C20" s="3">
        <v>1</v>
      </c>
    </row>
    <row r="21" spans="1:3" x14ac:dyDescent="0.25">
      <c r="A21" s="3">
        <f>[1]Baseline!A21</f>
        <v>21</v>
      </c>
      <c r="B21">
        <v>0</v>
      </c>
      <c r="C21" s="3">
        <v>1</v>
      </c>
    </row>
    <row r="22" spans="1:3" x14ac:dyDescent="0.25">
      <c r="A22" s="3">
        <f>[1]Baseline!A22</f>
        <v>22</v>
      </c>
      <c r="B22">
        <v>0</v>
      </c>
      <c r="C22" s="3">
        <v>1</v>
      </c>
    </row>
    <row r="23" spans="1:3" x14ac:dyDescent="0.25">
      <c r="A23" s="3">
        <f>[1]Baseline!A23</f>
        <v>23</v>
      </c>
      <c r="B23">
        <v>0</v>
      </c>
      <c r="C23" s="3">
        <v>1</v>
      </c>
    </row>
    <row r="24" spans="1:3" x14ac:dyDescent="0.25">
      <c r="A24" s="3">
        <f>[1]Baseline!A24</f>
        <v>24</v>
      </c>
      <c r="B24">
        <v>0</v>
      </c>
      <c r="C24" s="3">
        <v>1</v>
      </c>
    </row>
    <row r="25" spans="1:3" x14ac:dyDescent="0.25">
      <c r="A25" s="3">
        <f>A24+1</f>
        <v>25</v>
      </c>
      <c r="B25">
        <v>0</v>
      </c>
      <c r="C25" s="3">
        <v>1</v>
      </c>
    </row>
    <row r="26" spans="1:3" x14ac:dyDescent="0.25">
      <c r="A26" s="3">
        <f>A25+1</f>
        <v>26</v>
      </c>
      <c r="B26">
        <v>0</v>
      </c>
      <c r="C26" s="3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5F215-8951-402D-B341-33B337DB00B9}">
  <dimension ref="A1:C26"/>
  <sheetViews>
    <sheetView workbookViewId="0">
      <selection activeCell="C1" sqref="C1:C1048576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2</v>
      </c>
      <c r="B1" s="2" t="s">
        <v>123</v>
      </c>
      <c r="C1" s="2" t="s">
        <v>1</v>
      </c>
    </row>
    <row r="2" spans="1:3" x14ac:dyDescent="0.25">
      <c r="A2" s="3">
        <f>[1]Baseline!A2</f>
        <v>2</v>
      </c>
      <c r="B2">
        <v>0</v>
      </c>
      <c r="C2" s="3">
        <v>1</v>
      </c>
    </row>
    <row r="3" spans="1:3" x14ac:dyDescent="0.25">
      <c r="A3" s="3">
        <f>[1]Baseline!A3</f>
        <v>3</v>
      </c>
      <c r="B3">
        <v>0</v>
      </c>
      <c r="C3" s="3">
        <v>1</v>
      </c>
    </row>
    <row r="4" spans="1:3" x14ac:dyDescent="0.25">
      <c r="A4" s="3">
        <f>[1]Baseline!A4</f>
        <v>4</v>
      </c>
      <c r="B4">
        <v>0</v>
      </c>
      <c r="C4" s="3">
        <v>1</v>
      </c>
    </row>
    <row r="5" spans="1:3" x14ac:dyDescent="0.25">
      <c r="A5" s="3">
        <f>[1]Baseline!A5</f>
        <v>5</v>
      </c>
      <c r="B5">
        <v>0</v>
      </c>
      <c r="C5" s="3">
        <v>1</v>
      </c>
    </row>
    <row r="6" spans="1:3" x14ac:dyDescent="0.25">
      <c r="A6" s="3">
        <f>[1]Baseline!A6</f>
        <v>6</v>
      </c>
      <c r="B6">
        <v>0</v>
      </c>
      <c r="C6" s="3">
        <v>1</v>
      </c>
    </row>
    <row r="7" spans="1:3" x14ac:dyDescent="0.25">
      <c r="A7" s="3">
        <f>[1]Baseline!A7</f>
        <v>7</v>
      </c>
      <c r="B7">
        <v>0</v>
      </c>
      <c r="C7" s="3">
        <v>1</v>
      </c>
    </row>
    <row r="8" spans="1:3" x14ac:dyDescent="0.25">
      <c r="A8" s="3">
        <f>[1]Baseline!A8</f>
        <v>8</v>
      </c>
      <c r="B8">
        <v>0</v>
      </c>
      <c r="C8" s="3">
        <v>1</v>
      </c>
    </row>
    <row r="9" spans="1:3" x14ac:dyDescent="0.25">
      <c r="A9" s="3">
        <f>[1]Baseline!A9</f>
        <v>9</v>
      </c>
      <c r="B9">
        <v>0</v>
      </c>
      <c r="C9" s="3">
        <v>1</v>
      </c>
    </row>
    <row r="10" spans="1:3" x14ac:dyDescent="0.25">
      <c r="A10" s="3">
        <f>[1]Baseline!A10</f>
        <v>10</v>
      </c>
      <c r="B10">
        <v>0</v>
      </c>
      <c r="C10" s="3">
        <v>1</v>
      </c>
    </row>
    <row r="11" spans="1:3" x14ac:dyDescent="0.25">
      <c r="A11" s="3">
        <f>[1]Baseline!A11</f>
        <v>11</v>
      </c>
      <c r="B11">
        <v>0</v>
      </c>
      <c r="C11" s="3">
        <v>1</v>
      </c>
    </row>
    <row r="12" spans="1:3" x14ac:dyDescent="0.25">
      <c r="A12" s="3">
        <f>[1]Baseline!A12</f>
        <v>12</v>
      </c>
      <c r="B12">
        <v>0</v>
      </c>
      <c r="C12" s="3">
        <v>1</v>
      </c>
    </row>
    <row r="13" spans="1:3" x14ac:dyDescent="0.25">
      <c r="A13" s="3">
        <f>[1]Baseline!A13</f>
        <v>13</v>
      </c>
      <c r="B13">
        <v>0</v>
      </c>
      <c r="C13" s="3">
        <v>1</v>
      </c>
    </row>
    <row r="14" spans="1:3" x14ac:dyDescent="0.25">
      <c r="A14" s="3">
        <f>[1]Baseline!A14</f>
        <v>14</v>
      </c>
      <c r="B14">
        <v>0</v>
      </c>
      <c r="C14" s="3">
        <v>1</v>
      </c>
    </row>
    <row r="15" spans="1:3" x14ac:dyDescent="0.25">
      <c r="A15" s="3">
        <f>[1]Baseline!A15</f>
        <v>15</v>
      </c>
      <c r="B15">
        <v>0</v>
      </c>
      <c r="C15" s="3">
        <v>1</v>
      </c>
    </row>
    <row r="16" spans="1:3" x14ac:dyDescent="0.25">
      <c r="A16" s="3">
        <f>[1]Baseline!A16</f>
        <v>16</v>
      </c>
      <c r="B16">
        <v>0</v>
      </c>
      <c r="C16" s="3">
        <v>1</v>
      </c>
    </row>
    <row r="17" spans="1:3" x14ac:dyDescent="0.25">
      <c r="A17" s="3">
        <f>[1]Baseline!A17</f>
        <v>17</v>
      </c>
      <c r="B17">
        <v>0</v>
      </c>
      <c r="C17" s="3">
        <v>1</v>
      </c>
    </row>
    <row r="18" spans="1:3" x14ac:dyDescent="0.25">
      <c r="A18" s="3">
        <f>[1]Baseline!A18</f>
        <v>18</v>
      </c>
      <c r="B18">
        <v>0</v>
      </c>
      <c r="C18" s="3">
        <v>1</v>
      </c>
    </row>
    <row r="19" spans="1:3" x14ac:dyDescent="0.25">
      <c r="A19" s="3">
        <f>[1]Baseline!A19</f>
        <v>19</v>
      </c>
      <c r="B19">
        <v>0</v>
      </c>
      <c r="C19" s="3">
        <v>1</v>
      </c>
    </row>
    <row r="20" spans="1:3" x14ac:dyDescent="0.25">
      <c r="A20" s="3">
        <f>[1]Baseline!A20</f>
        <v>20</v>
      </c>
      <c r="B20">
        <v>0</v>
      </c>
      <c r="C20" s="3">
        <v>1</v>
      </c>
    </row>
    <row r="21" spans="1:3" x14ac:dyDescent="0.25">
      <c r="A21" s="3">
        <f>[1]Baseline!A21</f>
        <v>21</v>
      </c>
      <c r="B21">
        <v>0</v>
      </c>
      <c r="C21" s="3">
        <v>1</v>
      </c>
    </row>
    <row r="22" spans="1:3" x14ac:dyDescent="0.25">
      <c r="A22" s="3">
        <f>[1]Baseline!A22</f>
        <v>22</v>
      </c>
      <c r="B22">
        <v>0</v>
      </c>
      <c r="C22" s="3">
        <v>1</v>
      </c>
    </row>
    <row r="23" spans="1:3" x14ac:dyDescent="0.25">
      <c r="A23" s="3">
        <f>[1]Baseline!A23</f>
        <v>23</v>
      </c>
      <c r="B23">
        <v>0</v>
      </c>
      <c r="C23" s="3">
        <v>1</v>
      </c>
    </row>
    <row r="24" spans="1:3" x14ac:dyDescent="0.25">
      <c r="A24" s="3">
        <f>[1]Baseline!A24</f>
        <v>24</v>
      </c>
      <c r="B24">
        <v>0</v>
      </c>
      <c r="C24" s="3">
        <v>1</v>
      </c>
    </row>
    <row r="25" spans="1:3" x14ac:dyDescent="0.25">
      <c r="A25" s="3">
        <f>A24+1</f>
        <v>25</v>
      </c>
      <c r="B25">
        <v>0</v>
      </c>
      <c r="C25" s="3">
        <v>1</v>
      </c>
    </row>
    <row r="26" spans="1:3" x14ac:dyDescent="0.25">
      <c r="A26" s="3">
        <f>A25+1</f>
        <v>26</v>
      </c>
      <c r="B26">
        <v>0</v>
      </c>
      <c r="C26" s="3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566F7-ED36-4043-82EC-74F6EC91D3E1}">
  <dimension ref="A1:D26"/>
  <sheetViews>
    <sheetView workbookViewId="0">
      <selection activeCell="D1" sqref="D1:D1048576"/>
    </sheetView>
  </sheetViews>
  <sheetFormatPr defaultRowHeight="15" x14ac:dyDescent="0.25"/>
  <cols>
    <col min="4" max="4" width="15.7109375" bestFit="1" customWidth="1"/>
  </cols>
  <sheetData>
    <row r="1" spans="1:4" x14ac:dyDescent="0.25">
      <c r="A1" s="1" t="s">
        <v>2</v>
      </c>
      <c r="B1" s="2" t="s">
        <v>123</v>
      </c>
      <c r="C1" s="2" t="s">
        <v>122</v>
      </c>
      <c r="D1" s="2" t="s">
        <v>1</v>
      </c>
    </row>
    <row r="2" spans="1:4" x14ac:dyDescent="0.25">
      <c r="A2" s="3">
        <f>[1]Baseline!A2</f>
        <v>2</v>
      </c>
      <c r="B2">
        <v>0</v>
      </c>
      <c r="C2">
        <v>0</v>
      </c>
      <c r="D2" s="3">
        <v>1</v>
      </c>
    </row>
    <row r="3" spans="1:4" x14ac:dyDescent="0.25">
      <c r="A3" s="3">
        <f>[1]Baseline!A3</f>
        <v>3</v>
      </c>
      <c r="B3">
        <v>0</v>
      </c>
      <c r="C3">
        <v>0</v>
      </c>
      <c r="D3" s="3">
        <v>1</v>
      </c>
    </row>
    <row r="4" spans="1:4" x14ac:dyDescent="0.25">
      <c r="A4" s="3">
        <f>[1]Baseline!A4</f>
        <v>4</v>
      </c>
      <c r="B4">
        <v>0</v>
      </c>
      <c r="C4">
        <v>0</v>
      </c>
      <c r="D4" s="3">
        <v>1</v>
      </c>
    </row>
    <row r="5" spans="1:4" x14ac:dyDescent="0.25">
      <c r="A5" s="3">
        <f>[1]Baseline!A5</f>
        <v>5</v>
      </c>
      <c r="B5">
        <v>0</v>
      </c>
      <c r="C5">
        <v>0</v>
      </c>
      <c r="D5" s="3">
        <v>1</v>
      </c>
    </row>
    <row r="6" spans="1:4" x14ac:dyDescent="0.25">
      <c r="A6" s="3">
        <f>[1]Baseline!A6</f>
        <v>6</v>
      </c>
      <c r="B6">
        <v>0</v>
      </c>
      <c r="C6">
        <v>0</v>
      </c>
      <c r="D6" s="3">
        <v>1</v>
      </c>
    </row>
    <row r="7" spans="1:4" x14ac:dyDescent="0.25">
      <c r="A7" s="3">
        <f>[1]Baseline!A7</f>
        <v>7</v>
      </c>
      <c r="B7">
        <v>0</v>
      </c>
      <c r="C7">
        <v>0</v>
      </c>
      <c r="D7" s="3">
        <v>1</v>
      </c>
    </row>
    <row r="8" spans="1:4" x14ac:dyDescent="0.25">
      <c r="A8" s="3">
        <f>[1]Baseline!A8</f>
        <v>8</v>
      </c>
      <c r="B8">
        <v>0</v>
      </c>
      <c r="C8">
        <v>0</v>
      </c>
      <c r="D8" s="3">
        <v>1</v>
      </c>
    </row>
    <row r="9" spans="1:4" x14ac:dyDescent="0.25">
      <c r="A9" s="3">
        <f>[1]Baseline!A9</f>
        <v>9</v>
      </c>
      <c r="B9">
        <v>0</v>
      </c>
      <c r="C9">
        <v>0</v>
      </c>
      <c r="D9" s="3">
        <v>1</v>
      </c>
    </row>
    <row r="10" spans="1:4" x14ac:dyDescent="0.25">
      <c r="A10" s="3">
        <f>[1]Baseline!A10</f>
        <v>10</v>
      </c>
      <c r="B10">
        <v>0</v>
      </c>
      <c r="C10">
        <v>0</v>
      </c>
      <c r="D10" s="3">
        <v>1</v>
      </c>
    </row>
    <row r="11" spans="1:4" x14ac:dyDescent="0.25">
      <c r="A11" s="3">
        <f>[1]Baseline!A11</f>
        <v>11</v>
      </c>
      <c r="B11">
        <v>0</v>
      </c>
      <c r="C11">
        <v>0</v>
      </c>
      <c r="D11" s="3">
        <v>1</v>
      </c>
    </row>
    <row r="12" spans="1:4" x14ac:dyDescent="0.25">
      <c r="A12" s="3">
        <f>[1]Baseline!A12</f>
        <v>12</v>
      </c>
      <c r="B12">
        <v>0</v>
      </c>
      <c r="C12">
        <v>0</v>
      </c>
      <c r="D12" s="3">
        <v>1</v>
      </c>
    </row>
    <row r="13" spans="1:4" x14ac:dyDescent="0.25">
      <c r="A13" s="3">
        <f>[1]Baseline!A13</f>
        <v>13</v>
      </c>
      <c r="B13">
        <v>0</v>
      </c>
      <c r="C13">
        <v>0</v>
      </c>
      <c r="D13" s="3">
        <v>1</v>
      </c>
    </row>
    <row r="14" spans="1:4" x14ac:dyDescent="0.25">
      <c r="A14" s="3">
        <f>[1]Baseline!A14</f>
        <v>14</v>
      </c>
      <c r="B14">
        <v>0</v>
      </c>
      <c r="C14">
        <v>0</v>
      </c>
      <c r="D14" s="3">
        <v>1</v>
      </c>
    </row>
    <row r="15" spans="1:4" x14ac:dyDescent="0.25">
      <c r="A15" s="3">
        <f>[1]Baseline!A15</f>
        <v>15</v>
      </c>
      <c r="B15">
        <v>0</v>
      </c>
      <c r="C15">
        <v>0</v>
      </c>
      <c r="D15" s="3">
        <v>1</v>
      </c>
    </row>
    <row r="16" spans="1:4" x14ac:dyDescent="0.25">
      <c r="A16" s="3">
        <f>[1]Baseline!A16</f>
        <v>16</v>
      </c>
      <c r="B16">
        <v>0</v>
      </c>
      <c r="C16">
        <v>0</v>
      </c>
      <c r="D16" s="3">
        <v>1</v>
      </c>
    </row>
    <row r="17" spans="1:4" x14ac:dyDescent="0.25">
      <c r="A17" s="3">
        <f>[1]Baseline!A17</f>
        <v>17</v>
      </c>
      <c r="B17">
        <v>0</v>
      </c>
      <c r="C17">
        <v>0</v>
      </c>
      <c r="D17" s="3">
        <v>1</v>
      </c>
    </row>
    <row r="18" spans="1:4" x14ac:dyDescent="0.25">
      <c r="A18" s="3">
        <f>[1]Baseline!A18</f>
        <v>18</v>
      </c>
      <c r="B18">
        <v>0</v>
      </c>
      <c r="C18">
        <v>0</v>
      </c>
      <c r="D18" s="3">
        <v>1</v>
      </c>
    </row>
    <row r="19" spans="1:4" x14ac:dyDescent="0.25">
      <c r="A19" s="3">
        <f>[1]Baseline!A19</f>
        <v>19</v>
      </c>
      <c r="B19">
        <v>0</v>
      </c>
      <c r="C19">
        <v>0</v>
      </c>
      <c r="D19" s="3">
        <v>1</v>
      </c>
    </row>
    <row r="20" spans="1:4" x14ac:dyDescent="0.25">
      <c r="A20" s="3">
        <f>[1]Baseline!A20</f>
        <v>20</v>
      </c>
      <c r="B20">
        <v>0</v>
      </c>
      <c r="C20">
        <v>0</v>
      </c>
      <c r="D20" s="3">
        <v>1</v>
      </c>
    </row>
    <row r="21" spans="1:4" x14ac:dyDescent="0.25">
      <c r="A21" s="3">
        <f>[1]Baseline!A21</f>
        <v>21</v>
      </c>
      <c r="B21">
        <v>0</v>
      </c>
      <c r="C21">
        <v>0</v>
      </c>
      <c r="D21" s="3">
        <v>1</v>
      </c>
    </row>
    <row r="22" spans="1:4" x14ac:dyDescent="0.25">
      <c r="A22" s="3">
        <f>[1]Baseline!A22</f>
        <v>22</v>
      </c>
      <c r="B22">
        <v>0</v>
      </c>
      <c r="C22">
        <v>0</v>
      </c>
      <c r="D22" s="3">
        <v>1</v>
      </c>
    </row>
    <row r="23" spans="1:4" x14ac:dyDescent="0.25">
      <c r="A23" s="3">
        <f>[1]Baseline!A23</f>
        <v>23</v>
      </c>
      <c r="B23">
        <v>0</v>
      </c>
      <c r="C23">
        <v>0</v>
      </c>
      <c r="D23" s="3">
        <v>1</v>
      </c>
    </row>
    <row r="24" spans="1:4" x14ac:dyDescent="0.25">
      <c r="A24" s="3">
        <f>[1]Baseline!A24</f>
        <v>24</v>
      </c>
      <c r="B24">
        <v>0</v>
      </c>
      <c r="C24">
        <v>0</v>
      </c>
      <c r="D24" s="3">
        <v>1</v>
      </c>
    </row>
    <row r="25" spans="1:4" x14ac:dyDescent="0.25">
      <c r="A25" s="3">
        <f>A24+1</f>
        <v>25</v>
      </c>
      <c r="B25">
        <v>0</v>
      </c>
      <c r="C25">
        <v>0</v>
      </c>
      <c r="D25" s="3">
        <v>1</v>
      </c>
    </row>
    <row r="26" spans="1:4" x14ac:dyDescent="0.25">
      <c r="A26" s="3">
        <f>A25+1</f>
        <v>26</v>
      </c>
      <c r="B26">
        <v>0</v>
      </c>
      <c r="C26">
        <v>0</v>
      </c>
      <c r="D26" s="3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9A05-B718-4DC4-8762-99BB1A52F9CE}">
  <dimension ref="A1:C26"/>
  <sheetViews>
    <sheetView workbookViewId="0">
      <selection activeCell="C1" sqref="C1:C26"/>
    </sheetView>
  </sheetViews>
  <sheetFormatPr defaultRowHeight="15" x14ac:dyDescent="0.25"/>
  <cols>
    <col min="3" max="3" width="15.7109375" bestFit="1" customWidth="1"/>
  </cols>
  <sheetData>
    <row r="1" spans="1:3" x14ac:dyDescent="0.25">
      <c r="A1" s="1" t="s">
        <v>2</v>
      </c>
      <c r="B1" s="2" t="s">
        <v>118</v>
      </c>
      <c r="C1" s="2" t="s">
        <v>1</v>
      </c>
    </row>
    <row r="2" spans="1:3" x14ac:dyDescent="0.25">
      <c r="A2" s="3">
        <f>[1]Baseline!A2</f>
        <v>2</v>
      </c>
      <c r="B2" s="3">
        <v>1</v>
      </c>
      <c r="C2" s="3">
        <v>1</v>
      </c>
    </row>
    <row r="3" spans="1:3" x14ac:dyDescent="0.25">
      <c r="A3" s="3">
        <f>[1]Baseline!A3</f>
        <v>3</v>
      </c>
      <c r="B3" s="3">
        <v>1</v>
      </c>
      <c r="C3" s="3">
        <v>1</v>
      </c>
    </row>
    <row r="4" spans="1:3" x14ac:dyDescent="0.25">
      <c r="A4" s="3">
        <f>[1]Baseline!A4</f>
        <v>4</v>
      </c>
      <c r="B4" s="3">
        <v>1</v>
      </c>
      <c r="C4" s="3">
        <v>1</v>
      </c>
    </row>
    <row r="5" spans="1:3" x14ac:dyDescent="0.25">
      <c r="A5" s="3">
        <f>[1]Baseline!A5</f>
        <v>5</v>
      </c>
      <c r="B5" s="3">
        <v>1</v>
      </c>
      <c r="C5" s="3">
        <v>1</v>
      </c>
    </row>
    <row r="6" spans="1:3" x14ac:dyDescent="0.25">
      <c r="A6" s="3">
        <f>[1]Baseline!A6</f>
        <v>6</v>
      </c>
      <c r="B6" s="3">
        <v>1</v>
      </c>
      <c r="C6" s="3">
        <v>1</v>
      </c>
    </row>
    <row r="7" spans="1:3" x14ac:dyDescent="0.25">
      <c r="A7" s="3">
        <f>[1]Baseline!A7</f>
        <v>7</v>
      </c>
      <c r="B7" s="3">
        <v>1</v>
      </c>
      <c r="C7" s="3">
        <v>1</v>
      </c>
    </row>
    <row r="8" spans="1:3" x14ac:dyDescent="0.25">
      <c r="A8" s="3">
        <f>[1]Baseline!A8</f>
        <v>8</v>
      </c>
      <c r="B8" s="3">
        <v>1</v>
      </c>
      <c r="C8" s="3">
        <v>1</v>
      </c>
    </row>
    <row r="9" spans="1:3" x14ac:dyDescent="0.25">
      <c r="A9" s="3">
        <f>[1]Baseline!A9</f>
        <v>9</v>
      </c>
      <c r="B9" s="3">
        <v>1</v>
      </c>
      <c r="C9" s="3">
        <v>1</v>
      </c>
    </row>
    <row r="10" spans="1:3" x14ac:dyDescent="0.25">
      <c r="A10" s="3">
        <f>[1]Baseline!A10</f>
        <v>10</v>
      </c>
      <c r="B10" s="3">
        <v>1</v>
      </c>
      <c r="C10" s="3">
        <v>1</v>
      </c>
    </row>
    <row r="11" spans="1:3" x14ac:dyDescent="0.25">
      <c r="A11" s="3">
        <f>[1]Baseline!A11</f>
        <v>11</v>
      </c>
      <c r="B11" s="3">
        <v>1</v>
      </c>
      <c r="C11" s="3">
        <v>1</v>
      </c>
    </row>
    <row r="12" spans="1:3" x14ac:dyDescent="0.25">
      <c r="A12" s="3">
        <f>[1]Baseline!A12</f>
        <v>12</v>
      </c>
      <c r="B12" s="3">
        <v>1</v>
      </c>
      <c r="C12" s="3">
        <v>1</v>
      </c>
    </row>
    <row r="13" spans="1:3" x14ac:dyDescent="0.25">
      <c r="A13" s="3">
        <f>[1]Baseline!A13</f>
        <v>13</v>
      </c>
      <c r="B13" s="3">
        <v>1</v>
      </c>
      <c r="C13" s="3">
        <v>1</v>
      </c>
    </row>
    <row r="14" spans="1:3" x14ac:dyDescent="0.25">
      <c r="A14" s="3">
        <f>[1]Baseline!A14</f>
        <v>14</v>
      </c>
      <c r="B14" s="3">
        <v>1</v>
      </c>
      <c r="C14" s="3">
        <v>1</v>
      </c>
    </row>
    <row r="15" spans="1:3" x14ac:dyDescent="0.25">
      <c r="A15" s="3">
        <f>[1]Baseline!A15</f>
        <v>15</v>
      </c>
      <c r="B15" s="3">
        <v>1</v>
      </c>
      <c r="C15" s="3">
        <v>1</v>
      </c>
    </row>
    <row r="16" spans="1:3" x14ac:dyDescent="0.25">
      <c r="A16" s="3">
        <f>[1]Baseline!A16</f>
        <v>16</v>
      </c>
      <c r="B16" s="3">
        <v>1</v>
      </c>
      <c r="C16" s="3">
        <v>1</v>
      </c>
    </row>
    <row r="17" spans="1:3" x14ac:dyDescent="0.25">
      <c r="A17" s="3">
        <f>[1]Baseline!A17</f>
        <v>17</v>
      </c>
      <c r="B17" s="3">
        <v>1</v>
      </c>
      <c r="C17" s="3">
        <v>1</v>
      </c>
    </row>
    <row r="18" spans="1:3" x14ac:dyDescent="0.25">
      <c r="A18" s="3">
        <f>[1]Baseline!A18</f>
        <v>18</v>
      </c>
      <c r="B18" s="3">
        <v>1</v>
      </c>
      <c r="C18" s="3">
        <v>1</v>
      </c>
    </row>
    <row r="19" spans="1:3" x14ac:dyDescent="0.25">
      <c r="A19" s="3">
        <f>[1]Baseline!A19</f>
        <v>19</v>
      </c>
      <c r="B19" s="3">
        <v>1</v>
      </c>
      <c r="C19" s="3">
        <v>1</v>
      </c>
    </row>
    <row r="20" spans="1:3" x14ac:dyDescent="0.25">
      <c r="A20" s="3">
        <f>[1]Baseline!A20</f>
        <v>20</v>
      </c>
      <c r="B20" s="3">
        <v>1</v>
      </c>
      <c r="C20" s="3">
        <v>1</v>
      </c>
    </row>
    <row r="21" spans="1:3" x14ac:dyDescent="0.25">
      <c r="A21" s="3">
        <f>[1]Baseline!A21</f>
        <v>21</v>
      </c>
      <c r="B21" s="3">
        <v>1</v>
      </c>
      <c r="C21" s="3">
        <v>1</v>
      </c>
    </row>
    <row r="22" spans="1:3" x14ac:dyDescent="0.25">
      <c r="A22" s="3">
        <f>[1]Baseline!A22</f>
        <v>22</v>
      </c>
      <c r="B22" s="3">
        <v>1</v>
      </c>
      <c r="C22" s="3">
        <v>1</v>
      </c>
    </row>
    <row r="23" spans="1:3" x14ac:dyDescent="0.25">
      <c r="A23" s="3">
        <f>[1]Baseline!A23</f>
        <v>23</v>
      </c>
      <c r="B23" s="3">
        <v>1</v>
      </c>
      <c r="C23" s="3">
        <v>1</v>
      </c>
    </row>
    <row r="24" spans="1:3" x14ac:dyDescent="0.25">
      <c r="A24" s="3">
        <f>[1]Baseline!A24</f>
        <v>24</v>
      </c>
      <c r="B24" s="3">
        <v>1</v>
      </c>
      <c r="C24" s="3">
        <v>1</v>
      </c>
    </row>
    <row r="25" spans="1:3" x14ac:dyDescent="0.25">
      <c r="A25" s="3">
        <f>A24+1</f>
        <v>25</v>
      </c>
      <c r="B25" s="3">
        <v>1</v>
      </c>
      <c r="C25" s="3">
        <v>1</v>
      </c>
    </row>
    <row r="26" spans="1:3" x14ac:dyDescent="0.25">
      <c r="A26" s="3">
        <f>A25+1</f>
        <v>26</v>
      </c>
      <c r="B26" s="3">
        <v>1</v>
      </c>
      <c r="C26" s="3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D27"/>
  <sheetViews>
    <sheetView tabSelected="1" workbookViewId="0">
      <selection activeCell="C6" sqref="C6"/>
    </sheetView>
  </sheetViews>
  <sheetFormatPr defaultRowHeight="15" x14ac:dyDescent="0.25"/>
  <cols>
    <col min="1" max="1" width="3.140625" customWidth="1"/>
    <col min="2" max="2" width="16.85546875" bestFit="1" customWidth="1"/>
    <col min="3" max="3" width="13.42578125" customWidth="1"/>
  </cols>
  <sheetData>
    <row r="1" spans="1:4" x14ac:dyDescent="0.25">
      <c r="A1" t="s">
        <v>110</v>
      </c>
      <c r="B1" t="s">
        <v>124</v>
      </c>
      <c r="C1" t="s">
        <v>125</v>
      </c>
      <c r="D1" s="2" t="s">
        <v>1</v>
      </c>
    </row>
    <row r="2" spans="1:4" x14ac:dyDescent="0.25">
      <c r="A2">
        <v>2</v>
      </c>
      <c r="B2">
        <v>0</v>
      </c>
      <c r="C2">
        <v>0</v>
      </c>
      <c r="D2" s="3">
        <v>1</v>
      </c>
    </row>
    <row r="3" spans="1:4" x14ac:dyDescent="0.25">
      <c r="A3">
        <v>3</v>
      </c>
      <c r="B3">
        <v>0</v>
      </c>
      <c r="C3">
        <v>0</v>
      </c>
      <c r="D3" s="3">
        <v>1</v>
      </c>
    </row>
    <row r="4" spans="1:4" x14ac:dyDescent="0.25">
      <c r="A4">
        <v>4</v>
      </c>
      <c r="B4">
        <v>0</v>
      </c>
      <c r="C4">
        <v>0</v>
      </c>
      <c r="D4" s="3">
        <v>1</v>
      </c>
    </row>
    <row r="5" spans="1:4" x14ac:dyDescent="0.25">
      <c r="A5">
        <v>5</v>
      </c>
      <c r="B5">
        <v>1</v>
      </c>
      <c r="C5">
        <v>-0.5</v>
      </c>
      <c r="D5" s="3">
        <v>1</v>
      </c>
    </row>
    <row r="6" spans="1:4" x14ac:dyDescent="0.25">
      <c r="A6">
        <v>6</v>
      </c>
      <c r="B6">
        <v>0</v>
      </c>
      <c r="C6">
        <v>0</v>
      </c>
      <c r="D6" s="3">
        <v>1</v>
      </c>
    </row>
    <row r="7" spans="1:4" x14ac:dyDescent="0.25">
      <c r="A7">
        <v>7</v>
      </c>
      <c r="B7">
        <v>0</v>
      </c>
      <c r="C7">
        <v>0</v>
      </c>
      <c r="D7" s="3">
        <v>1</v>
      </c>
    </row>
    <row r="8" spans="1:4" x14ac:dyDescent="0.25">
      <c r="A8">
        <v>8</v>
      </c>
      <c r="B8">
        <v>0</v>
      </c>
      <c r="C8">
        <v>0</v>
      </c>
      <c r="D8" s="3">
        <v>1</v>
      </c>
    </row>
    <row r="9" spans="1:4" x14ac:dyDescent="0.25">
      <c r="A9">
        <v>9</v>
      </c>
      <c r="B9">
        <v>0</v>
      </c>
      <c r="C9">
        <v>0</v>
      </c>
      <c r="D9" s="3">
        <v>1</v>
      </c>
    </row>
    <row r="10" spans="1:4" x14ac:dyDescent="0.25">
      <c r="A10">
        <v>10</v>
      </c>
      <c r="B10">
        <v>0</v>
      </c>
      <c r="C10">
        <v>0</v>
      </c>
      <c r="D10" s="3">
        <v>1</v>
      </c>
    </row>
    <row r="11" spans="1:4" x14ac:dyDescent="0.25">
      <c r="A11">
        <v>11</v>
      </c>
      <c r="B11">
        <v>0</v>
      </c>
      <c r="C11">
        <v>0</v>
      </c>
      <c r="D11" s="3">
        <v>1</v>
      </c>
    </row>
    <row r="12" spans="1:4" x14ac:dyDescent="0.25">
      <c r="A12">
        <v>12</v>
      </c>
      <c r="B12">
        <v>0</v>
      </c>
      <c r="C12">
        <v>0</v>
      </c>
      <c r="D12" s="3">
        <v>1</v>
      </c>
    </row>
    <row r="13" spans="1:4" x14ac:dyDescent="0.25">
      <c r="A13">
        <v>13</v>
      </c>
      <c r="B13">
        <v>0</v>
      </c>
      <c r="C13">
        <v>0</v>
      </c>
      <c r="D13" s="3">
        <v>1</v>
      </c>
    </row>
    <row r="14" spans="1:4" x14ac:dyDescent="0.25">
      <c r="A14">
        <v>14</v>
      </c>
      <c r="B14">
        <v>0</v>
      </c>
      <c r="C14">
        <v>0</v>
      </c>
      <c r="D14" s="3">
        <v>1</v>
      </c>
    </row>
    <row r="15" spans="1:4" x14ac:dyDescent="0.25">
      <c r="A15">
        <v>15</v>
      </c>
      <c r="B15">
        <v>0</v>
      </c>
      <c r="C15">
        <v>0</v>
      </c>
      <c r="D15" s="3">
        <v>1</v>
      </c>
    </row>
    <row r="16" spans="1:4" x14ac:dyDescent="0.25">
      <c r="A16">
        <v>16</v>
      </c>
      <c r="B16">
        <v>0</v>
      </c>
      <c r="C16">
        <v>0</v>
      </c>
      <c r="D16" s="3">
        <v>1</v>
      </c>
    </row>
    <row r="17" spans="1:4" x14ac:dyDescent="0.25">
      <c r="A17">
        <v>17</v>
      </c>
      <c r="B17">
        <v>0</v>
      </c>
      <c r="C17">
        <v>0</v>
      </c>
      <c r="D17" s="3">
        <v>1</v>
      </c>
    </row>
    <row r="18" spans="1:4" x14ac:dyDescent="0.25">
      <c r="A18">
        <v>18</v>
      </c>
      <c r="B18">
        <v>0</v>
      </c>
      <c r="C18">
        <v>0</v>
      </c>
      <c r="D18" s="3">
        <v>1</v>
      </c>
    </row>
    <row r="19" spans="1:4" x14ac:dyDescent="0.25">
      <c r="A19">
        <v>19</v>
      </c>
      <c r="B19">
        <v>0</v>
      </c>
      <c r="C19">
        <v>0</v>
      </c>
      <c r="D19" s="3">
        <v>1</v>
      </c>
    </row>
    <row r="20" spans="1:4" x14ac:dyDescent="0.25">
      <c r="A20">
        <v>20</v>
      </c>
      <c r="B20">
        <v>0</v>
      </c>
      <c r="C20">
        <v>0</v>
      </c>
      <c r="D20" s="3">
        <v>1</v>
      </c>
    </row>
    <row r="21" spans="1:4" x14ac:dyDescent="0.25">
      <c r="A21">
        <v>21</v>
      </c>
      <c r="B21">
        <v>0</v>
      </c>
      <c r="C21">
        <v>0</v>
      </c>
      <c r="D21" s="3">
        <v>1</v>
      </c>
    </row>
    <row r="22" spans="1:4" x14ac:dyDescent="0.25">
      <c r="A22">
        <v>22</v>
      </c>
      <c r="B22">
        <v>0</v>
      </c>
      <c r="C22">
        <v>0</v>
      </c>
      <c r="D22" s="3">
        <v>1</v>
      </c>
    </row>
    <row r="23" spans="1:4" x14ac:dyDescent="0.25">
      <c r="A23">
        <v>23</v>
      </c>
      <c r="B23">
        <v>0</v>
      </c>
      <c r="C23">
        <v>0</v>
      </c>
      <c r="D23" s="3">
        <v>1</v>
      </c>
    </row>
    <row r="24" spans="1:4" x14ac:dyDescent="0.25">
      <c r="A24">
        <v>24</v>
      </c>
      <c r="B24">
        <v>0</v>
      </c>
      <c r="C24">
        <v>0</v>
      </c>
      <c r="D24" s="3">
        <v>1</v>
      </c>
    </row>
    <row r="25" spans="1:4" x14ac:dyDescent="0.25">
      <c r="A25">
        <v>25</v>
      </c>
      <c r="B25">
        <v>0</v>
      </c>
      <c r="C25">
        <v>0</v>
      </c>
      <c r="D25" s="3">
        <v>1</v>
      </c>
    </row>
    <row r="26" spans="1:4" x14ac:dyDescent="0.25">
      <c r="A26">
        <v>26</v>
      </c>
      <c r="B26">
        <v>0</v>
      </c>
      <c r="C26">
        <v>0</v>
      </c>
      <c r="D26" s="3">
        <v>1</v>
      </c>
    </row>
    <row r="27" spans="1:4" x14ac:dyDescent="0.25">
      <c r="A27">
        <v>27</v>
      </c>
      <c r="B27">
        <v>0</v>
      </c>
      <c r="C27">
        <v>0</v>
      </c>
      <c r="D27" s="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Sheet1</vt:lpstr>
      <vt:lpstr>EE_PDP8</vt:lpstr>
      <vt:lpstr>EE_PDP8_NoBESS</vt:lpstr>
      <vt:lpstr>EE_Directive10</vt:lpstr>
      <vt:lpstr>EE_Directive10_NoBESS</vt:lpstr>
      <vt:lpstr>EE_PDP8_PV_BESS</vt:lpstr>
      <vt:lpstr>EE_PDP8_PV_BESS_NoBESS</vt:lpstr>
      <vt:lpstr>PDP8_GF_A</vt:lpstr>
      <vt:lpstr>PDP8_GF_B</vt:lpstr>
      <vt:lpstr>PDP8_GF_C</vt:lpstr>
      <vt:lpstr>NZ_GF_A</vt:lpstr>
      <vt:lpstr>NZ_GF_B</vt:lpstr>
      <vt:lpstr>NZ_GF_C</vt:lpstr>
      <vt:lpstr>NZ</vt:lpstr>
      <vt:lpstr>NZ_constEE</vt:lpstr>
      <vt:lpstr>NZ_constInt</vt:lpstr>
      <vt:lpstr>NZ_constEEInt</vt:lpstr>
      <vt:lpstr>NZ_subsidy</vt:lpstr>
      <vt:lpstr>ImportShock_Fossil2_P10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Schult, Christoph</cp:lastModifiedBy>
  <dcterms:modified xsi:type="dcterms:W3CDTF">2026-07-19T16:35:19Z</dcterms:modified>
</cp:coreProperties>
</file>