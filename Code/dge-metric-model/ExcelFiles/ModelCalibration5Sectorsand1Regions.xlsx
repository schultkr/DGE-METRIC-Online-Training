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0FAF904D-1057-4522-A625-5FE7C19C3310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Content" sheetId="4" r:id="rId1"/>
    <sheet name="IO_Data" sheetId="7" r:id="rId2"/>
    <sheet name="Data" sheetId="3" r:id="rId3"/>
    <sheet name="Start" sheetId="5" r:id="rId4"/>
    <sheet name="Structural Parameters" sheetId="6" r:id="rId5"/>
  </sheet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PV_p">Start!$A$42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Start!$A$42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22" i="5"/>
  <c r="B21" i="5"/>
  <c r="B19" i="5"/>
  <c r="B17" i="5"/>
  <c r="B13" i="5"/>
  <c r="B7" i="5"/>
  <c r="B4" i="5"/>
  <c r="A4" i="4"/>
  <c r="A3" i="4"/>
  <c r="A2" i="4"/>
</calcChain>
</file>

<file path=xl/sharedStrings.xml><?xml version="1.0" encoding="utf-8"?>
<sst xmlns="http://schemas.openxmlformats.org/spreadsheetml/2006/main" count="649" uniqueCount="417">
  <si>
    <t>Sheets</t>
  </si>
  <si>
    <t>Regions</t>
  </si>
  <si>
    <t>Sectors</t>
  </si>
  <si>
    <t>a sheet to store data used for calibration</t>
  </si>
  <si>
    <t>a sheet to assign values for the initial conditions</t>
  </si>
  <si>
    <t>a sheet to assign values for structural parameters</t>
  </si>
  <si>
    <t>VNM</t>
  </si>
  <si>
    <t>Primary</t>
  </si>
  <si>
    <t>Fossil</t>
  </si>
  <si>
    <t>Renewables</t>
  </si>
  <si>
    <t>Secondary</t>
  </si>
  <si>
    <t>Tertiary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</si>
  <si>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</si>
  <si>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</si>
  <si>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</si>
  <si>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</si>
  <si>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</si>
  <si>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</si>
  <si>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</si>
  <si>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</si>
  <si>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</si>
  <si>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</si>
  <si>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enter value here</t>
  </si>
  <si>
    <t>Subsector</t>
  </si>
  <si>
    <t>Sector of Origin</t>
  </si>
  <si>
    <t>intermediate input share (phiQI)</t>
  </si>
  <si>
    <t>share of emissions (sEI)</t>
  </si>
  <si>
    <t>Energy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</si>
  <si>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</si>
  <si>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</si>
  <si>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</si>
  <si>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</si>
  <si>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</si>
  <si>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</si>
  <si>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</si>
  <si>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</si>
  <si>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</si>
  <si>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</si>
  <si>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</si>
  <si>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</si>
  <si>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initial Sea level</t>
  </si>
  <si>
    <t>initial employment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</si>
  <si>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</si>
  <si>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</si>
  <si>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</si>
  <si>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</si>
  <si>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</si>
  <si>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</si>
  <si>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</si>
  <si>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Y0_p</t>
  </si>
  <si>
    <t>Parameter values for initial sum of hours worked to potential hours worked</t>
  </si>
  <si>
    <t>N0_1_p</t>
  </si>
  <si>
    <t>Parameter values for initial emission price</t>
  </si>
  <si>
    <t>P0_1_p</t>
  </si>
  <si>
    <t>E0_1_p</t>
  </si>
  <si>
    <t>sH_1_p</t>
  </si>
  <si>
    <t>Parameter values for initial population</t>
  </si>
  <si>
    <t>PoP0_1_p</t>
  </si>
  <si>
    <t>Parameter values for initial labour force</t>
  </si>
  <si>
    <t>LF0_1_p</t>
  </si>
  <si>
    <t>H0_1_p</t>
  </si>
  <si>
    <t>Parameter values for initial value for tas</t>
  </si>
  <si>
    <t>tas0_1_p</t>
  </si>
  <si>
    <t>SL0_p</t>
  </si>
  <si>
    <t>Parameter values for initial share of value added</t>
  </si>
  <si>
    <t>phiY0_1_1_p</t>
  </si>
  <si>
    <t>phiY0_2_1_p</t>
  </si>
  <si>
    <t>phiY0_3_1_p</t>
  </si>
  <si>
    <t>phiY0_4_1_p</t>
  </si>
  <si>
    <t>phiY0_5_1_p</t>
  </si>
  <si>
    <t>Parameter values for initial share of employment</t>
  </si>
  <si>
    <t>phiN0_1_1_p</t>
  </si>
  <si>
    <t>phiN0_2_1_p</t>
  </si>
  <si>
    <t>phiN0_3_1_p</t>
  </si>
  <si>
    <t>phiN0_4_1_p</t>
  </si>
  <si>
    <t>phiN0_5_1_p</t>
  </si>
  <si>
    <t>Description</t>
  </si>
  <si>
    <t>initial GDP</t>
  </si>
  <si>
    <t>initial value for SL</t>
  </si>
  <si>
    <t>initial share of value added in sector 1 and region 1</t>
  </si>
  <si>
    <t>initial share of value added in sector 2 and region 1</t>
  </si>
  <si>
    <t>initial share of value added in sector 3 and region 1</t>
  </si>
  <si>
    <t>initial share of value added in sector 4 and region 1</t>
  </si>
  <si>
    <t>initial share of value added in sector 5 and region 1</t>
  </si>
  <si>
    <t>initial share of employment in sector 1 and region 1</t>
  </si>
  <si>
    <t>initial share of employment in sector 2 and region 1</t>
  </si>
  <si>
    <t>initial share of employment in sector 3 and region 1</t>
  </si>
  <si>
    <t>initial share of employment in sector 4 and region 1</t>
  </si>
  <si>
    <t>initial share of employment in sector 5 and region 1</t>
  </si>
  <si>
    <t>beta_p</t>
  </si>
  <si>
    <t>phiB_p</t>
  </si>
  <si>
    <t>sigmaL_p</t>
  </si>
  <si>
    <t>sigmaC_p</t>
  </si>
  <si>
    <t>etaQ_p</t>
  </si>
  <si>
    <t>etaF_p</t>
  </si>
  <si>
    <t>etaX_p</t>
  </si>
  <si>
    <t>Parameter values for elasticity of substitution between subsectors in one sector</t>
  </si>
  <si>
    <t>etaQA_1_p</t>
  </si>
  <si>
    <t>etaQA_2_p</t>
  </si>
  <si>
    <t>etaQA_3_p</t>
  </si>
  <si>
    <t>etaQA_4_p</t>
  </si>
  <si>
    <t>etaQA_5_p</t>
  </si>
  <si>
    <t>Parameter values for elasticity of substitution between regions in one subsector</t>
  </si>
  <si>
    <t>etaQ_1_p</t>
  </si>
  <si>
    <t>etaQ_2_p</t>
  </si>
  <si>
    <t>etaQ_3_p</t>
  </si>
  <si>
    <t>etaQ_4_p</t>
  </si>
  <si>
    <t>etaQ_5_p</t>
  </si>
  <si>
    <t>Parameter values for cost share of intermediate goods</t>
  </si>
  <si>
    <t>phiQI_1_1_p</t>
  </si>
  <si>
    <t>phiQI_2_1_p</t>
  </si>
  <si>
    <t>phiQI_3_1_p</t>
  </si>
  <si>
    <t>phiQI_4_1_p</t>
  </si>
  <si>
    <t>phiQI_5_1_p</t>
  </si>
  <si>
    <t>Parameter values for final use import shares</t>
  </si>
  <si>
    <t>phiM_F_1_1_p</t>
  </si>
  <si>
    <t>phiM_F_2_1_p</t>
  </si>
  <si>
    <t>phiM_F_3_1_p</t>
  </si>
  <si>
    <t>phiM_F_4_1_p</t>
  </si>
  <si>
    <t>phiM_F_5_1_p</t>
  </si>
  <si>
    <t>Parameter values for intermediate import shares</t>
  </si>
  <si>
    <t>phiM_I_1_1_p</t>
  </si>
  <si>
    <t>phiM_I_2_1_p</t>
  </si>
  <si>
    <t>phiM_I_3_1_p</t>
  </si>
  <si>
    <t>phiM_I_4_1_p</t>
  </si>
  <si>
    <t>phiM_I_5_1_p</t>
  </si>
  <si>
    <t>phiX_1_1_p</t>
  </si>
  <si>
    <t>phiX_2_1_p</t>
  </si>
  <si>
    <t>phiX_3_1_p</t>
  </si>
  <si>
    <t>phiX_4_1_p</t>
  </si>
  <si>
    <t>phiX_5_1_p</t>
  </si>
  <si>
    <t>etaI_1_p</t>
  </si>
  <si>
    <t>etaI_2_p</t>
  </si>
  <si>
    <t>etaI_3_p</t>
  </si>
  <si>
    <t>etaI_4_p</t>
  </si>
  <si>
    <t>etaI_5_p</t>
  </si>
  <si>
    <t>etaIA_1_p</t>
  </si>
  <si>
    <t>etaIA_2_p</t>
  </si>
  <si>
    <t>etaIA_3_p</t>
  </si>
  <si>
    <t>etaIA_4_p</t>
  </si>
  <si>
    <t>etaIA_5_p</t>
  </si>
  <si>
    <t>Parameter values for labour cost share</t>
  </si>
  <si>
    <t>phiW_1_1_p</t>
  </si>
  <si>
    <t>phiW_2_1_p</t>
  </si>
  <si>
    <t>phiW_3_1_p</t>
  </si>
  <si>
    <t>phiW_4_1_p</t>
  </si>
  <si>
    <t>phiW_5_1_p</t>
  </si>
  <si>
    <t>etaNK_1_1_p</t>
  </si>
  <si>
    <t>etaNK_2_1_p</t>
  </si>
  <si>
    <t>etaNK_3_1_p</t>
  </si>
  <si>
    <t>etaNK_4_1_p</t>
  </si>
  <si>
    <t>etaNK_5_1_p</t>
  </si>
  <si>
    <t>Parameter values for tax rate on capital expenditures</t>
  </si>
  <si>
    <t>tauKF_1_1_p</t>
  </si>
  <si>
    <t>tauKF_2_1_p</t>
  </si>
  <si>
    <t>tauKF_3_1_p</t>
  </si>
  <si>
    <t>tauKF_4_1_p</t>
  </si>
  <si>
    <t>tauKF_5_1_p</t>
  </si>
  <si>
    <t>Parameter values for tax rate on labour costs</t>
  </si>
  <si>
    <t>tauNF_1_1_p</t>
  </si>
  <si>
    <t>tauNF_2_1_p</t>
  </si>
  <si>
    <t>tauNF_3_1_p</t>
  </si>
  <si>
    <t>tauNF_4_1_p</t>
  </si>
  <si>
    <t>tauNF_5_1_p</t>
  </si>
  <si>
    <t>Parameter values for share of emissions on total emissions for each sector</t>
  </si>
  <si>
    <t>sE_1_1_p</t>
  </si>
  <si>
    <t>sE_2_1_p</t>
  </si>
  <si>
    <t>sE_3_1_p</t>
  </si>
  <si>
    <t>sE_4_1_p</t>
  </si>
  <si>
    <t>sE_5_1_p</t>
  </si>
  <si>
    <t>Parameter values for share of inputs from another sector for each subsector</t>
  </si>
  <si>
    <t>phiQI_1_1_1_p</t>
  </si>
  <si>
    <t>phiQI_1_1_2_p</t>
  </si>
  <si>
    <t>phiQI_1_1_3_p</t>
  </si>
  <si>
    <t>phiQI_1_1_4_p</t>
  </si>
  <si>
    <t>phiQI_2_1_1_p</t>
  </si>
  <si>
    <t>phiQI_2_1_2_p</t>
  </si>
  <si>
    <t>phiQI_2_1_3_p</t>
  </si>
  <si>
    <t>phiQI_2_1_4_p</t>
  </si>
  <si>
    <t>phiQI_3_1_1_p</t>
  </si>
  <si>
    <t>phiQI_3_1_2_p</t>
  </si>
  <si>
    <t>phiQI_3_1_3_p</t>
  </si>
  <si>
    <t>phiQI_3_1_4_p</t>
  </si>
  <si>
    <t>phiQI_4_1_1_p</t>
  </si>
  <si>
    <t>phiQI_4_1_2_p</t>
  </si>
  <si>
    <t>phiQI_4_1_3_p</t>
  </si>
  <si>
    <t>phiQI_4_1_4_p</t>
  </si>
  <si>
    <t>phiQI_5_1_1_p</t>
  </si>
  <si>
    <t>phiQI_5_1_2_p</t>
  </si>
  <si>
    <t>phiQI_5_1_3_p</t>
  </si>
  <si>
    <t>phiQI_5_1_4_p</t>
  </si>
  <si>
    <t>sEI_1_1_1_p</t>
  </si>
  <si>
    <t>sEI_1_1_2_p</t>
  </si>
  <si>
    <t>sEI_1_1_3_p</t>
  </si>
  <si>
    <t>sEI_1_1_4_p</t>
  </si>
  <si>
    <t>sEI_2_1_1_p</t>
  </si>
  <si>
    <t>sEI_2_1_2_p</t>
  </si>
  <si>
    <t>sEI_2_1_3_p</t>
  </si>
  <si>
    <t>sEI_2_1_4_p</t>
  </si>
  <si>
    <t>sEI_3_1_1_p</t>
  </si>
  <si>
    <t>sEI_3_1_2_p</t>
  </si>
  <si>
    <t>sEI_3_1_3_p</t>
  </si>
  <si>
    <t>sEI_3_1_4_p</t>
  </si>
  <si>
    <t>sEI_4_1_1_p</t>
  </si>
  <si>
    <t>sEI_4_1_2_p</t>
  </si>
  <si>
    <t>sEI_4_1_3_p</t>
  </si>
  <si>
    <t>sEI_4_1_4_p</t>
  </si>
  <si>
    <t>sEI_5_1_1_p</t>
  </si>
  <si>
    <t>sEI_5_1_2_p</t>
  </si>
  <si>
    <t>sEI_5_1_3_p</t>
  </si>
  <si>
    <t>sEI_5_1_4_p</t>
  </si>
  <si>
    <t>Parameter values for share of production used in one region from another region in the subsector</t>
  </si>
  <si>
    <t>phiQ_D_1_1_1_p</t>
  </si>
  <si>
    <t>phiQ_D_2_1_1_p</t>
  </si>
  <si>
    <t>phiQ_D_3_1_1_p</t>
  </si>
  <si>
    <t>phiQ_D_4_1_1_p</t>
  </si>
  <si>
    <t>phiQ_D_5_1_1_p</t>
  </si>
  <si>
    <t>discount factor</t>
  </si>
  <si>
    <t>depreciation rate</t>
  </si>
  <si>
    <t>foreign bond adjustment cost</t>
  </si>
  <si>
    <t>inverse Frisch elasticity</t>
  </si>
  <si>
    <t>intertemporal elasticity of substitution for consumption</t>
  </si>
  <si>
    <t>elasticity of substitution between sectors</t>
  </si>
  <si>
    <t>elasticity of substitution between imports and domestic products</t>
  </si>
  <si>
    <t>supply price elasticity of exports</t>
  </si>
  <si>
    <t>consumption tax rate</t>
  </si>
  <si>
    <t>tax rate on labour income</t>
  </si>
  <si>
    <t>tax rate on capital income</t>
  </si>
  <si>
    <t>elasticity of substitution between subsectors in one sector in sector 1</t>
  </si>
  <si>
    <t>elasticity of substitution between subsectors in one sector in sector 2</t>
  </si>
  <si>
    <t>elasticity of substitution between subsectors in one sector in sector 3</t>
  </si>
  <si>
    <t>elasticity of substitution between subsectors in one sector in sector 4</t>
  </si>
  <si>
    <t>elasticity of substitution between subsectors in one sector in sector 5</t>
  </si>
  <si>
    <t>elasticity of substitution between regions in one subsector in sector 1</t>
  </si>
  <si>
    <t>elasticity of substitution between regions in one subsector in sector 2</t>
  </si>
  <si>
    <t>elasticity of substitution between regions in one subsector in sector 3</t>
  </si>
  <si>
    <t>elasticity of substitution between regions in one subsector in sector 4</t>
  </si>
  <si>
    <t>elasticity of substitution between regions in one subsector in sector 5</t>
  </si>
  <si>
    <t>cost share of intermediate goods in sector 1 and region 1</t>
  </si>
  <si>
    <t>cost share of intermediate goods in sector 2 and region 1</t>
  </si>
  <si>
    <t>cost share of intermediate goods in sector 3 and region 1</t>
  </si>
  <si>
    <t>cost share of intermediate goods in sector 4 and region 1</t>
  </si>
  <si>
    <t>cost share of intermediate goods in sector 5 and region 1</t>
  </si>
  <si>
    <t>final use import shares in sector 1 and region 1</t>
  </si>
  <si>
    <t>final use import shares in sector 2 and region 1</t>
  </si>
  <si>
    <t>final use import shares in sector 3 and region 1</t>
  </si>
  <si>
    <t>final use import shares in sector 4 and region 1</t>
  </si>
  <si>
    <t>final use import shares in sector 5 and region 1</t>
  </si>
  <si>
    <t>intermediate import shares in sector 1 and region 1</t>
  </si>
  <si>
    <t>intermediate import shares in sector 2 and region 1</t>
  </si>
  <si>
    <t>intermediate import shares in sector 3 and region 1</t>
  </si>
  <si>
    <t>intermediate import shares in sector 4 and region 1</t>
  </si>
  <si>
    <t>intermediate import shares in sector 5 and region 1</t>
  </si>
  <si>
    <t>labour cost share in sector 1 and region 1</t>
  </si>
  <si>
    <t>labour cost share in sector 2 and region 1</t>
  </si>
  <si>
    <t>labour cost share in sector 3 and region 1</t>
  </si>
  <si>
    <t>labour cost share in sector 4 and region 1</t>
  </si>
  <si>
    <t>labour cost share in sector 5 and region 1</t>
  </si>
  <si>
    <t>tax rate on capital expenditures in sector 1 and region 1</t>
  </si>
  <si>
    <t>tax rate on capital expenditures in sector 2 and region 1</t>
  </si>
  <si>
    <t>tax rate on capital expenditures in sector 3 and region 1</t>
  </si>
  <si>
    <t>tax rate on capital expenditures in sector 4 and region 1</t>
  </si>
  <si>
    <t>tax rate on capital expenditures in sector 5 and region 1</t>
  </si>
  <si>
    <t>tax rate on labour costs in sector 1 and region 1</t>
  </si>
  <si>
    <t>tax rate on labour costs in sector 2 and region 1</t>
  </si>
  <si>
    <t>tax rate on labour costs in sector 3 and region 1</t>
  </si>
  <si>
    <t>tax rate on labour costs in sector 4 and region 1</t>
  </si>
  <si>
    <t>tax rate on labour costs in sector 5 and region 1</t>
  </si>
  <si>
    <t>share of emissions on total emissions for each sector in sector 1 and region 1</t>
  </si>
  <si>
    <t>share of emissions on total emissions for each sector in sector 2 and region 1</t>
  </si>
  <si>
    <t>share of emissions on total emissions for each sector in sector 3 and region 1</t>
  </si>
  <si>
    <t>share of emissions on total emissions for each sector in sector 4 and region 1</t>
  </si>
  <si>
    <t>share of emissions on total emissions for each sector in sector 5 and region 1</t>
  </si>
  <si>
    <t>share of inputs from another sector for each subsector in sector 1 and region 1 from sector 1</t>
  </si>
  <si>
    <t>share of inputs from another sector for each subsector in sector 1 and region 1 from sector 2</t>
  </si>
  <si>
    <t>share of inputs from another sector for each subsector in sector 1 and region 1 from sector 3</t>
  </si>
  <si>
    <t>share of inputs from another sector for each subsector in sector 1 and region 1 from sector 4</t>
  </si>
  <si>
    <t>share of inputs from another sector for each subsector in sector 2 and region 1 from sector 1</t>
  </si>
  <si>
    <t>share of inputs from another sector for each subsector in sector 2 and region 1 from sector 2</t>
  </si>
  <si>
    <t>share of inputs from another sector for each subsector in sector 2 and region 1 from sector 3</t>
  </si>
  <si>
    <t>share of inputs from another sector for each subsector in sector 2 and region 1 from sector 4</t>
  </si>
  <si>
    <t>share of inputs from another sector for each subsector in sector 3 and region 1 from sector 1</t>
  </si>
  <si>
    <t>share of inputs from another sector for each subsector in sector 3 and region 1 from sector 2</t>
  </si>
  <si>
    <t>share of inputs from another sector for each subsector in sector 3 and region 1 from sector 3</t>
  </si>
  <si>
    <t>share of inputs from another sector for each subsector in sector 3 and region 1 from sector 4</t>
  </si>
  <si>
    <t>share of inputs from another sector for each subsector in sector 4 and region 1 from sector 1</t>
  </si>
  <si>
    <t>share of inputs from another sector for each subsector in sector 4 and region 1 from sector 2</t>
  </si>
  <si>
    <t>share of inputs from another sector for each subsector in sector 4 and region 1 from sector 3</t>
  </si>
  <si>
    <t>share of inputs from another sector for each subsector in sector 4 and region 1 from sector 4</t>
  </si>
  <si>
    <t>share of inputs from another sector for each subsector in sector 5 and region 1 from sector 1</t>
  </si>
  <si>
    <t>share of inputs from another sector for each subsector in sector 5 and region 1 from sector 2</t>
  </si>
  <si>
    <t>share of inputs from another sector for each subsector in sector 5 and region 1 from sector 3</t>
  </si>
  <si>
    <t>share of inputs from another sector for each subsector in sector 5 and region 1 from sector 4</t>
  </si>
  <si>
    <t>share of production used in one region from another region in the subsector in sector 1 and region 1 from region 1</t>
  </si>
  <si>
    <t>share of production used in one region from another region in the subsector in sector 2 and region 1 from region 1</t>
  </si>
  <si>
    <t>share of production used in one region from another region in the subsector in sector 3 and region 1 from region 1</t>
  </si>
  <si>
    <t>share of production used in one region from another region in the subsector in sector 4 and region 1 from region 1</t>
  </si>
  <si>
    <t>share of production used in one region from another region in the subsector in sector 5 and region 1 from region 1</t>
  </si>
  <si>
    <t>initial sum of hours worked to potential hours worked in region 1</t>
  </si>
  <si>
    <t>initial emission price in region 1</t>
  </si>
  <si>
    <t>Parameter values for initial emissions</t>
  </si>
  <si>
    <t>E0_NOETS_1_p</t>
  </si>
  <si>
    <t>initial emissions in region 1 not covered by ETS</t>
  </si>
  <si>
    <t>initial emissions in region 1 covered by ETS</t>
  </si>
  <si>
    <t>PE0_1_p</t>
  </si>
  <si>
    <t>initial price for emissions</t>
  </si>
  <si>
    <t>Parameter values for investments in residential building relative to GDP</t>
  </si>
  <si>
    <t>investments in residential building relative to GDP in region 1</t>
  </si>
  <si>
    <t>initial population in region 1</t>
  </si>
  <si>
    <t>initial labour force in region 1</t>
  </si>
  <si>
    <t>Parameter values for initial housing</t>
  </si>
  <si>
    <t>initial housing in region 1</t>
  </si>
  <si>
    <t>initial value for tas in region 1</t>
  </si>
  <si>
    <t>phiG_1_1_p</t>
  </si>
  <si>
    <t>initial share of public investment in sector 1 and region 1</t>
  </si>
  <si>
    <t>phiG_2_1_p</t>
  </si>
  <si>
    <t>initial share of public investment in sector 2 and region 1</t>
  </si>
  <si>
    <t>phiG_3_1_p</t>
  </si>
  <si>
    <t>initial share of public investment in sector 3 and region 1</t>
  </si>
  <si>
    <t>phiG_4_1_p</t>
  </si>
  <si>
    <t>phiG_5_1_p</t>
  </si>
  <si>
    <t>PV Rooftop parameters</t>
  </si>
  <si>
    <t>phiQPV0_p</t>
  </si>
  <si>
    <t>initial value of RTS on total energy demand</t>
  </si>
  <si>
    <t>phiKPV0_p</t>
  </si>
  <si>
    <t>initial value of RTS to GDP ratio</t>
  </si>
  <si>
    <t>deltaPV_p</t>
  </si>
  <si>
    <t>depreciation rate of RTS PV</t>
  </si>
  <si>
    <t>deltaB_p</t>
  </si>
  <si>
    <t>phiadjB_p</t>
  </si>
  <si>
    <t>Parameter values for share of exports on revenues</t>
  </si>
  <si>
    <t>share of exports on revenues in sector 1 and region 1</t>
  </si>
  <si>
    <t>share of exports on revenues in sector 2 and region 1</t>
  </si>
  <si>
    <t>share of exports on revenues in sector 3 and region 1</t>
  </si>
  <si>
    <t>share of exports on revenues in sector 4 and region 1</t>
  </si>
  <si>
    <t>share of exports on revenues in sector 5 and region 1</t>
  </si>
  <si>
    <t>Parameter values for elasticity of substitution between primary production factors and intermediate products</t>
  </si>
  <si>
    <t>elasticity of substitution between primary production factors and intermediate products in sector 1</t>
  </si>
  <si>
    <t>elasticity of substitution between primary production factors and intermediate products in sector 2</t>
  </si>
  <si>
    <t>elasticity of substitution between primary production factors and intermediate products in sector 3</t>
  </si>
  <si>
    <t>elasticity of substitution between primary production factors and intermediate products in sector 4</t>
  </si>
  <si>
    <t>elasticity of substitution between primary production factors and intermediate products in sector 5</t>
  </si>
  <si>
    <t>elasticity of substitution between intermediates in sector 1</t>
  </si>
  <si>
    <t>elasticity of substitution between intermediates in sector 2</t>
  </si>
  <si>
    <t>elasticity of substitution between intermediates in sector 3</t>
  </si>
  <si>
    <t>elasticity of substitution between intermediates in sector 4</t>
  </si>
  <si>
    <t>elasticity of substitution between intermediates in sector 5</t>
  </si>
  <si>
    <t>Parameter values for elasticity of substitution between labour and capital</t>
  </si>
  <si>
    <t>elasticity of substitution between labour and capital in sector 1 and region 1</t>
  </si>
  <si>
    <t>elasticity of substitution between labour and capital in sector 2 and region 1</t>
  </si>
  <si>
    <t>elasticity of substitution between labour and capital in sector 3 and region 1</t>
  </si>
  <si>
    <t>elasticity of substitution between labour and capital in sector 4 and region 1</t>
  </si>
  <si>
    <t>elasticity of substitution between labour and capital in sector 5 and region 1</t>
  </si>
  <si>
    <t>sE_NOETS_1_1_p</t>
  </si>
  <si>
    <t>sE_NOETS_2_1_p</t>
  </si>
  <si>
    <t>sE_NOETS_3_1_p</t>
  </si>
  <si>
    <t>sE_NOETS_4_1_p</t>
  </si>
  <si>
    <t>sE_NOETS_5_1_p</t>
  </si>
  <si>
    <t>Parameter values for share of emissions on total emissions for each sector using products from another sector as input</t>
  </si>
  <si>
    <t>share of emissions on total emissions for each sector using products from another sector as input in sector 1 and region 1 from sector 1</t>
  </si>
  <si>
    <t>share of emissions on total emissions for each sector using products from another sector as input in sector 1 and region 1 from sector 2</t>
  </si>
  <si>
    <t>share of emissions on total emissions for each sector using products from another sector as input in sector 1 and region 1 from sector 3</t>
  </si>
  <si>
    <t>share of emissions on total emissions for each sector using products from another sector as input in sector 1 and region 1 from sector 4</t>
  </si>
  <si>
    <t>share of emissions on total emissions for each sector using products from another sector as input in sector 2 and region 1 from sector 1</t>
  </si>
  <si>
    <t>share of emissions on total emissions for each sector using products from another sector as input in sector 2 and region 1 from sector 2</t>
  </si>
  <si>
    <t>share of emissions on total emissions for each sector using products from another sector as input in sector 2 and region 1 from sector 3</t>
  </si>
  <si>
    <t>share of emissions on total emissions for each sector using products from another sector as input in sector 2 and region 1 from sector 4</t>
  </si>
  <si>
    <t>share of emissions on total emissions for each sector using products from another sector as input in sector 3 and region 1 from sector 1</t>
  </si>
  <si>
    <t>share of emissions on total emissions for each sector using products from another sector as input in sector 3 and region 1 from sector 2</t>
  </si>
  <si>
    <t>share of emissions on total emissions for each sector using products from another sector as input in sector 3 and region 1 from sector 3</t>
  </si>
  <si>
    <t>share of emissions on total emissions for each sector using products from another sector as input in sector 3 and region 1 from sector 4</t>
  </si>
  <si>
    <t>share of emissions on total emissions for each sector using products from another sector as input in sector 4 and region 1 from sector 1</t>
  </si>
  <si>
    <t>share of emissions on total emissions for each sector using products from another sector as input in sector 4 and region 1 from sector 2</t>
  </si>
  <si>
    <t>share of emissions on total emissions for each sector using products from another sector as input in sector 4 and region 1 from sector 3</t>
  </si>
  <si>
    <t>share of emissions on total emissions for each sector using products from another sector as input in sector 4 and region 1 from sector 4</t>
  </si>
  <si>
    <t>share of emissions on total emissions for each sector using products from another sector as input in sector 5 and region 1 from sector 1</t>
  </si>
  <si>
    <t>share of emissions on total emissions for each sector using products from another sector as input in sector 5 and region 1 from sector 2</t>
  </si>
  <si>
    <t>share of emissions on total emissions for each sector using products from another sector as input in sector 5 and region 1 from sector 3</t>
  </si>
  <si>
    <t>share of emissions on total emissions for each sector using products from another sector as input in sector 5 and region 1 from sector 4</t>
  </si>
  <si>
    <t>Capital Adjustment Cost</t>
  </si>
  <si>
    <t>phiK_1_1_p</t>
  </si>
  <si>
    <t>share of production used in one region from another region in the subsector in sector 1 and region 1 from region 1 below 20 does not work</t>
  </si>
  <si>
    <t>phiK_2_1_p</t>
  </si>
  <si>
    <t>phiK_3_1_p</t>
  </si>
  <si>
    <t>phiK_4_1_p</t>
  </si>
  <si>
    <t>phiK_5_1_p</t>
  </si>
  <si>
    <t>Depreciation Rate</t>
  </si>
  <si>
    <t>delta_1_1_p</t>
  </si>
  <si>
    <t>depreciation rate in sector 1 and region 1</t>
  </si>
  <si>
    <t>delta_2_1_p</t>
  </si>
  <si>
    <t>depreciation rate in sector 2 and region 1</t>
  </si>
  <si>
    <t>delta_3_1_p</t>
  </si>
  <si>
    <t>depreciation rate in sector 3 and region 1</t>
  </si>
  <si>
    <t>delta_4_1_p</t>
  </si>
  <si>
    <t>depreciation rate in sector 4 and region 1</t>
  </si>
  <si>
    <t>delta_5_1_p</t>
  </si>
  <si>
    <t>depreciation rate in sector 5 and region 1</t>
  </si>
  <si>
    <t>Intermediate Input Shares and Sectoral Accounts (phiQI, phiX, phiM_I, phiW, phiY0, phiN0)</t>
  </si>
  <si>
    <t>Aggregate Sector</t>
  </si>
  <si>
    <t>Imports Intermediate (phiM_I)</t>
  </si>
  <si>
    <t>Labour (phiW)</t>
  </si>
  <si>
    <t>Value Added (phiY0)</t>
  </si>
  <si>
    <t>Employment Share (phiN0)</t>
  </si>
  <si>
    <t>Intermediate input matrix phiQI [row=using, col=supplying]</t>
  </si>
  <si>
    <t>Final Imports (phiM_F)</t>
  </si>
  <si>
    <t>sFDI0_1_1_p</t>
  </si>
  <si>
    <t>sFDI0_2_1_p</t>
  </si>
  <si>
    <t>sFDI0_3_1_p</t>
  </si>
  <si>
    <t>sFDI0_4_1_p</t>
  </si>
  <si>
    <t>sFDI0_5_1_p</t>
  </si>
  <si>
    <t>BG0_1_p</t>
  </si>
  <si>
    <t>initial public debt to GDP ratio</t>
  </si>
  <si>
    <t>tauC_1_p</t>
  </si>
  <si>
    <t>tauNH_1_p</t>
  </si>
  <si>
    <t>tauKH_1_p</t>
  </si>
  <si>
    <t>sGY0_1_p</t>
  </si>
  <si>
    <t>actual government-consumption share of GDP (calibration target for G_1/tauC_1_p; GSO 2019 IO table, GSO_REDUCED sheet, GC/TOTAL)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</si>
</sst>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0.000"/>
  </numFmts>
  <fonts count="10" x14ac:knownFonts="1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9C5700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sz val="11"/>
      <color rgb="FF000000"/>
      <name val="Calibri"/>
      <family val="2"/>
    </font>
    <font>
      <i/>
      <sz val="9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EB9C"/>
      </patternFill>
    </fill>
    <fill>
      <patternFill patternType="solid">
        <fgColor rgb="FF969696"/>
        <bgColor rgb="FF80808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BF3FA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3" borderId="0"/>
    <xf numFmtId="0" fontId="4" fillId="0" borderId="0"/>
  </cellStyleXfs>
  <cellXfs count="29">
    <xf numFmtId="0" fontId="0" fillId="0" borderId="0" xfId="0"/>
    <xf numFmtId="0" fontId="1" fillId="0" borderId="0" xfId="1"/>
    <xf numFmtId="164" fontId="0" fillId="0" borderId="0" xfId="0" applyNumberFormat="1"/>
    <xf numFmtId="0" fontId="2" fillId="4" borderId="0" xfId="2" applyFill="1"/>
    <xf numFmtId="0" fontId="2" fillId="0" borderId="0" xfId="2"/>
    <xf numFmtId="165" fontId="2" fillId="0" borderId="0" xfId="2" applyNumberFormat="1"/>
    <xf numFmtId="11" fontId="2" fillId="0" borderId="0" xfId="2" applyNumberFormat="1"/>
    <xf numFmtId="0" fontId="3" fillId="3" borderId="0" xfId="3"/>
    <xf numFmtId="0" fontId="5" fillId="0" borderId="0" xfId="4" applyFont="1" applyAlignment="1">
      <alignment horizontal="left" vertical="center"/>
    </xf>
    <xf numFmtId="0" fontId="4" fillId="0" borderId="0" xfId="4"/>
    <xf numFmtId="0" fontId="6" fillId="6" borderId="1" xfId="4" applyFont="1" applyFill="1" applyBorder="1" applyAlignment="1">
      <alignment horizontal="center" vertical="center" wrapText="1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8" fillId="7" borderId="1" xfId="4" applyFont="1" applyFill="1" applyBorder="1" applyAlignment="1">
      <alignment horizontal="left" vertical="center"/>
    </xf>
    <xf numFmtId="0" fontId="8" fillId="7" borderId="1" xfId="4" applyFont="1" applyFill="1" applyBorder="1" applyAlignment="1">
      <alignment horizontal="center" vertical="center"/>
    </xf>
    <xf numFmtId="0" fontId="8" fillId="8" borderId="1" xfId="4" applyFont="1" applyFill="1" applyBorder="1" applyAlignment="1">
      <alignment horizontal="center" vertical="center"/>
    </xf>
    <xf numFmtId="0" fontId="8" fillId="9" borderId="1" xfId="4" applyFont="1" applyFill="1" applyBorder="1" applyAlignment="1">
      <alignment horizontal="center" vertical="center"/>
    </xf>
    <xf numFmtId="0" fontId="8" fillId="10" borderId="1" xfId="4" applyFont="1" applyFill="1" applyBorder="1" applyAlignment="1">
      <alignment horizontal="center" vertical="center"/>
    </xf>
    <xf numFmtId="0" fontId="8" fillId="11" borderId="1" xfId="4" applyFont="1" applyFill="1" applyBorder="1" applyAlignment="1">
      <alignment horizontal="left" vertical="center"/>
    </xf>
    <xf numFmtId="0" fontId="8" fillId="11" borderId="1" xfId="4" applyFont="1" applyFill="1" applyBorder="1" applyAlignment="1">
      <alignment horizontal="center" vertical="center"/>
    </xf>
    <xf numFmtId="11" fontId="8" fillId="7" borderId="1" xfId="4" applyNumberFormat="1" applyFont="1" applyFill="1" applyBorder="1" applyAlignment="1">
      <alignment horizontal="center" vertical="center"/>
    </xf>
    <xf numFmtId="11" fontId="8" fillId="8" borderId="1" xfId="4" applyNumberFormat="1" applyFont="1" applyFill="1" applyBorder="1" applyAlignment="1">
      <alignment horizontal="center" vertical="center"/>
    </xf>
    <xf numFmtId="0" fontId="8" fillId="12" borderId="0" xfId="4" applyFont="1" applyFill="1"/>
    <xf numFmtId="1" fontId="8" fillId="12" borderId="0" xfId="4" applyNumberFormat="1" applyFont="1" applyFill="1"/>
    <xf numFmtId="1" fontId="8" fillId="5" borderId="1" xfId="4" applyNumberFormat="1" applyFont="1" applyFill="1" applyBorder="1"/>
    <xf numFmtId="0" fontId="9" fillId="0" borderId="0" xfId="4" applyFont="1" applyAlignment="1">
      <alignment horizontal="left" vertical="center"/>
    </xf>
    <xf numFmtId="0" fontId="2" fillId="4" borderId="0" xfId="2" applyFill="1"/>
    <xf numFmtId="0" fontId="2" fillId="0" borderId="0" xfId="2"/>
    <xf numFmtId="0" fontId="0" fillId="2" borderId="0" xfId="0" applyFill="1"/>
  </cellXfs>
  <cellStyles count="5">
    <cellStyle name="Hyperlink" xfId="1" builtinId="8"/>
    <cellStyle name="Neutral 2" xfId="3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8525-BFDF-4D8F-88A5-DB8D5FA343E5}">
  <dimension ref="A1:C12"/>
  <sheetViews>
    <sheetView workbookViewId="0">
      <selection sqref="A1:XFD1048576"/>
    </sheetView>
  </sheetViews>
  <sheetFormatPr defaultRowHeight="15" x14ac:dyDescent="0.25"/>
  <cols>
    <col min="1" max="1" width="20.42578125" bestFit="1" customWidth="1"/>
    <col min="2" max="2" width="45.28515625" bestFit="1" customWidth="1"/>
  </cols>
  <sheetData>
    <row r="1" spans="1:3" x14ac:dyDescent="0.25">
      <c r="A1" s="28" t="s">
        <v>0</v>
      </c>
      <c r="B1" s="28"/>
      <c r="C1" s="28"/>
    </row>
    <row r="2" spans="1:3" x14ac:dyDescent="0.25">
      <c r="A2" s="1" t="str">
        <f>HYPERLINK("#'Data'!A1","Data")</f>
        <v>Data</v>
      </c>
      <c r="B2" t="s">
        <v>3</v>
      </c>
    </row>
    <row r="3" spans="1:3" x14ac:dyDescent="0.25">
      <c r="A3" s="1" t="str">
        <f>HYPERLINK("#'Start'!A1","Start")</f>
        <v>Start</v>
      </c>
      <c r="B3" t="s">
        <v>4</v>
      </c>
    </row>
    <row r="4" spans="1:3" x14ac:dyDescent="0.25">
      <c r="A4" s="1" t="str">
        <f>HYPERLINK("#'Structural Parameters'!A1","Structural Parameters")</f>
        <v>Structural Parameters</v>
      </c>
      <c r="B4" t="s">
        <v>5</v>
      </c>
    </row>
    <row r="5" spans="1:3" x14ac:dyDescent="0.25">
      <c r="A5" s="28" t="s">
        <v>1</v>
      </c>
      <c r="B5" s="28"/>
      <c r="C5" s="28"/>
    </row>
    <row r="6" spans="1:3" x14ac:dyDescent="0.25">
      <c r="A6">
        <v>1</v>
      </c>
      <c r="B6" t="s">
        <v>6</v>
      </c>
    </row>
    <row r="7" spans="1:3" x14ac:dyDescent="0.25">
      <c r="A7" s="28" t="s">
        <v>2</v>
      </c>
      <c r="B7" s="28"/>
      <c r="C7" s="28"/>
    </row>
    <row r="8" spans="1:3" x14ac:dyDescent="0.25">
      <c r="A8">
        <v>1</v>
      </c>
      <c r="B8" t="s">
        <v>7</v>
      </c>
    </row>
    <row r="9" spans="1:3" x14ac:dyDescent="0.25">
      <c r="A9">
        <v>2</v>
      </c>
      <c r="B9" t="s">
        <v>8</v>
      </c>
    </row>
    <row r="10" spans="1:3" x14ac:dyDescent="0.25">
      <c r="A10">
        <v>3</v>
      </c>
      <c r="B10" t="s">
        <v>9</v>
      </c>
    </row>
    <row r="11" spans="1:3" x14ac:dyDescent="0.25">
      <c r="A11">
        <v>4</v>
      </c>
      <c r="B11" t="s">
        <v>10</v>
      </c>
    </row>
    <row r="12" spans="1:3" x14ac:dyDescent="0.25">
      <c r="A12">
        <v>5</v>
      </c>
      <c r="B12" t="s">
        <v>11</v>
      </c>
    </row>
  </sheetData>
  <mergeCells count="3">
    <mergeCell ref="A1:C1"/>
    <mergeCell ref="A5:C5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B87F-6EB9-4268-A396-07B6CEE9B019}">
  <dimension ref="A1:L10"/>
  <sheetViews>
    <sheetView workbookViewId="0">
      <pane xSplit="2" ySplit="3" topLeftCell="C4" activePane="bottomRight" state="frozen"/>
      <selection pane="topRight"/>
      <selection pane="bottomLeft"/>
      <selection pane="bottomRight" activeCell="D18" sqref="D18"/>
    </sheetView>
  </sheetViews>
  <sheetFormatPr defaultColWidth="11.42578125" defaultRowHeight="15" x14ac:dyDescent="0.25"/>
  <cols>
    <col min="1" max="1" width="81.140625" style="9" customWidth="1"/>
    <col min="2" max="2" width="12" style="9" bestFit="1" customWidth="1"/>
    <col min="3" max="3" width="15.7109375" style="9" customWidth="1"/>
    <col min="4" max="4" width="14.7109375" style="9" customWidth="1"/>
    <col min="5" max="7" width="15.7109375" style="9" customWidth="1"/>
    <col min="8" max="8" width="14.7109375" style="9" customWidth="1"/>
    <col min="9" max="9" width="25" style="9" customWidth="1"/>
    <col min="10" max="10" width="15.7109375" style="9" customWidth="1"/>
    <col min="11" max="11" width="17.140625" style="9" customWidth="1"/>
    <col min="12" max="12" width="22.28515625" style="9" customWidth="1"/>
    <col min="13" max="16384" width="11.42578125" style="9"/>
  </cols>
  <sheetData>
    <row r="1" spans="1:12" ht="21.95" customHeight="1" x14ac:dyDescent="0.25">
      <c r="A1" s="8" t="s">
        <v>397</v>
      </c>
    </row>
    <row r="2" spans="1:12" ht="44.1" customHeight="1" x14ac:dyDescent="0.25">
      <c r="A2" s="10" t="s">
        <v>398</v>
      </c>
      <c r="B2" s="10" t="s">
        <v>23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17</v>
      </c>
      <c r="I2" s="10" t="s">
        <v>399</v>
      </c>
      <c r="J2" s="10" t="s">
        <v>400</v>
      </c>
      <c r="K2" s="10" t="s">
        <v>401</v>
      </c>
      <c r="L2" s="10" t="s">
        <v>402</v>
      </c>
    </row>
    <row r="3" spans="1:12" ht="15.95" customHeight="1" x14ac:dyDescent="0.25">
      <c r="A3" s="11" t="s">
        <v>403</v>
      </c>
      <c r="H3" s="12"/>
      <c r="I3" s="12"/>
      <c r="J3" s="12"/>
      <c r="K3" s="12"/>
      <c r="L3" s="12"/>
    </row>
    <row r="4" spans="1:12" x14ac:dyDescent="0.25">
      <c r="A4" s="13" t="s">
        <v>7</v>
      </c>
      <c r="B4" s="13" t="s">
        <v>7</v>
      </c>
      <c r="C4" s="14">
        <v>1.4422226930467616E-2</v>
      </c>
      <c r="D4" s="14">
        <v>3.7320342219725202E-3</v>
      </c>
      <c r="E4" s="14">
        <v>3.6616301746542166E-4</v>
      </c>
      <c r="F4" s="14">
        <v>2.7046072302106115E-2</v>
      </c>
      <c r="G4" s="14">
        <v>4.9752014633807256E-3</v>
      </c>
      <c r="H4" s="15">
        <v>6.9606135777650234E-3</v>
      </c>
      <c r="I4" s="16">
        <v>2.1345398939753808E-2</v>
      </c>
      <c r="J4" s="16">
        <v>3.9525934010030038E-2</v>
      </c>
      <c r="K4" s="16">
        <v>4.3849021879782638E-2</v>
      </c>
      <c r="L4" s="17">
        <v>0.1842193691178716</v>
      </c>
    </row>
    <row r="5" spans="1:12" x14ac:dyDescent="0.25">
      <c r="A5" s="18" t="s">
        <v>27</v>
      </c>
      <c r="B5" s="18" t="s">
        <v>8</v>
      </c>
      <c r="C5" s="19">
        <v>6.4131046250132996E-4</v>
      </c>
      <c r="D5" s="19">
        <v>1.1981435075267454E-2</v>
      </c>
      <c r="E5" s="19">
        <v>2.6293620085776073E-4</v>
      </c>
      <c r="F5" s="19">
        <v>3.4208064696140371E-3</v>
      </c>
      <c r="G5" s="19">
        <v>2.664457415963134E-3</v>
      </c>
      <c r="H5" s="15">
        <v>4.6139329963357087E-3</v>
      </c>
      <c r="I5" s="16">
        <v>1.9046009569366043E-2</v>
      </c>
      <c r="J5" s="16">
        <v>6.2225054861662172E-3</v>
      </c>
      <c r="K5" s="16">
        <v>1.8617519651186666E-2</v>
      </c>
      <c r="L5" s="17">
        <v>2.9001364893822636E-2</v>
      </c>
    </row>
    <row r="6" spans="1:12" x14ac:dyDescent="0.25">
      <c r="A6" s="13" t="s">
        <v>27</v>
      </c>
      <c r="B6" s="13" t="s">
        <v>9</v>
      </c>
      <c r="C6" s="20">
        <v>1.2809840480249971E-5</v>
      </c>
      <c r="D6" s="14">
        <v>1.6536725084701296E-3</v>
      </c>
      <c r="E6" s="20">
        <v>6.7276093480473807E-5</v>
      </c>
      <c r="F6" s="14">
        <v>5.5382681947262744E-4</v>
      </c>
      <c r="G6" s="14">
        <v>3.9025328239636944E-4</v>
      </c>
      <c r="H6" s="21">
        <v>5.9458449010926488E-5</v>
      </c>
      <c r="I6" s="16">
        <v>3.5363100675160186E-4</v>
      </c>
      <c r="J6" s="16">
        <v>7.220402122688162E-4</v>
      </c>
      <c r="K6" s="16">
        <v>3.3232510115607959E-3</v>
      </c>
      <c r="L6" s="17">
        <v>3.3652283168853652E-3</v>
      </c>
    </row>
    <row r="7" spans="1:12" x14ac:dyDescent="0.25">
      <c r="A7" s="18" t="s">
        <v>10</v>
      </c>
      <c r="B7" s="18" t="s">
        <v>10</v>
      </c>
      <c r="C7" s="19">
        <v>6.8289060727302633E-2</v>
      </c>
      <c r="D7" s="19">
        <v>2.0910080316406104E-2</v>
      </c>
      <c r="E7" s="19">
        <v>3.1774698105269264E-3</v>
      </c>
      <c r="F7" s="19">
        <v>0.33230489238954558</v>
      </c>
      <c r="G7" s="19">
        <v>5.2534316283934832E-2</v>
      </c>
      <c r="H7" s="15">
        <v>0.26208945244385851</v>
      </c>
      <c r="I7" s="16">
        <v>0.18111130931207689</v>
      </c>
      <c r="J7" s="16">
        <v>7.6328942267527067E-2</v>
      </c>
      <c r="K7" s="16">
        <v>0.11242207494191821</v>
      </c>
      <c r="L7" s="17">
        <v>0.35574793972964974</v>
      </c>
    </row>
    <row r="8" spans="1:12" x14ac:dyDescent="0.25">
      <c r="A8" s="13" t="s">
        <v>11</v>
      </c>
      <c r="B8" s="13" t="s">
        <v>11</v>
      </c>
      <c r="C8" s="14">
        <v>5.8979093180920004E-3</v>
      </c>
      <c r="D8" s="14">
        <v>1.2874786907895341E-2</v>
      </c>
      <c r="E8" s="14">
        <v>1.5030145154121396E-3</v>
      </c>
      <c r="F8" s="14">
        <v>3.715440122175153E-2</v>
      </c>
      <c r="G8" s="14">
        <v>5.0678527879484805E-2</v>
      </c>
      <c r="H8" s="15">
        <v>3.3650860704118872E-2</v>
      </c>
      <c r="I8" s="16">
        <v>2.5526241462421551E-2</v>
      </c>
      <c r="J8" s="16">
        <v>9.1759634432129741E-2</v>
      </c>
      <c r="K8" s="16">
        <v>0.15231984492284562</v>
      </c>
      <c r="L8" s="17">
        <v>0.42766609794177063</v>
      </c>
    </row>
    <row r="9" spans="1:12" ht="5.0999999999999996" customHeight="1" x14ac:dyDescent="0.25">
      <c r="A9" s="22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ht="15.95" customHeight="1" x14ac:dyDescent="0.25">
      <c r="A10" s="25" t="s">
        <v>404</v>
      </c>
      <c r="C10" s="15">
        <v>3.5541008973436171E-3</v>
      </c>
      <c r="D10" s="15">
        <v>1.6303336010453947E-3</v>
      </c>
      <c r="E10" s="21">
        <v>1.2434776358848521E-5</v>
      </c>
      <c r="F10" s="15">
        <v>3.8262887217700513E-2</v>
      </c>
      <c r="G10" s="15">
        <v>3.1851583840066203E-3</v>
      </c>
      <c r="H10" s="24"/>
      <c r="I10" s="24"/>
      <c r="J10" s="24"/>
      <c r="K10" s="24"/>
      <c r="L10" s="24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6F49-91B6-4949-8BDD-64026552C6AA}">
  <dimension ref="A1:AL21"/>
  <sheetViews>
    <sheetView workbookViewId="0">
      <selection activeCell="D22" sqref="D22"/>
    </sheetView>
  </sheetViews>
  <sheetFormatPr defaultRowHeight="15" x14ac:dyDescent="0.25"/>
  <cols>
    <col min="1" max="1" width="11.85546875" bestFit="1" customWidth="1"/>
    <col min="2" max="2" width="7.140625" bestFit="1" customWidth="1"/>
    <col min="3" max="3" width="25.5703125" bestFit="1" customWidth="1"/>
    <col min="4" max="4" width="25.140625" bestFit="1" customWidth="1"/>
    <col min="5" max="5" width="18.140625" bestFit="1" customWidth="1"/>
    <col min="6" max="6" width="15.85546875" bestFit="1" customWidth="1"/>
    <col min="7" max="7" width="27.7109375" bestFit="1" customWidth="1"/>
    <col min="8" max="8" width="20.140625" bestFit="1" customWidth="1"/>
    <col min="9" max="9" width="19.7109375" bestFit="1" customWidth="1"/>
    <col min="10" max="10" width="18.28515625" bestFit="1" customWidth="1"/>
    <col min="12" max="12" width="11.85546875" bestFit="1" customWidth="1"/>
    <col min="13" max="13" width="7.140625" bestFit="1" customWidth="1"/>
    <col min="14" max="14" width="14.85546875" bestFit="1" customWidth="1"/>
    <col min="15" max="15" width="30.5703125" bestFit="1" customWidth="1"/>
    <col min="16" max="16" width="22.140625" bestFit="1" customWidth="1"/>
    <col min="18" max="18" width="11.85546875" bestFit="1" customWidth="1"/>
    <col min="19" max="19" width="15.42578125" bestFit="1" customWidth="1"/>
    <col min="20" max="20" width="20.42578125" bestFit="1" customWidth="1"/>
    <col min="21" max="21" width="48.5703125" bestFit="1" customWidth="1"/>
    <col min="23" max="23" width="7.140625" bestFit="1" customWidth="1"/>
    <col min="24" max="24" width="31.7109375" bestFit="1" customWidth="1"/>
    <col min="25" max="25" width="31.42578125" bestFit="1" customWidth="1"/>
    <col min="26" max="26" width="23" bestFit="1" customWidth="1"/>
    <col min="27" max="27" width="22.42578125" bestFit="1" customWidth="1"/>
    <col min="28" max="28" width="22.7109375" bestFit="1" customWidth="1"/>
    <col min="29" max="29" width="25.7109375" bestFit="1" customWidth="1"/>
    <col min="31" max="31" width="7.140625" bestFit="1" customWidth="1"/>
    <col min="32" max="32" width="39.28515625" bestFit="1" customWidth="1"/>
    <col min="34" max="34" width="14.7109375" bestFit="1" customWidth="1"/>
    <col min="35" max="35" width="15.85546875" bestFit="1" customWidth="1"/>
    <col min="37" max="37" width="46.85546875" bestFit="1" customWidth="1"/>
    <col min="38" max="38" width="15.85546875" bestFit="1" customWidth="1"/>
  </cols>
  <sheetData>
    <row r="1" spans="1:38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L1" s="2" t="s">
        <v>23</v>
      </c>
      <c r="M1" s="2" t="s">
        <v>13</v>
      </c>
      <c r="N1" s="2" t="s">
        <v>24</v>
      </c>
      <c r="O1" s="2" t="s">
        <v>25</v>
      </c>
      <c r="P1" s="2" t="s">
        <v>26</v>
      </c>
      <c r="R1" s="2" t="s">
        <v>23</v>
      </c>
      <c r="S1" s="2" t="s">
        <v>28</v>
      </c>
      <c r="T1" s="2" t="s">
        <v>29</v>
      </c>
      <c r="U1" s="2" t="s">
        <v>30</v>
      </c>
      <c r="W1" s="2" t="s">
        <v>13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E1" s="2" t="s">
        <v>13</v>
      </c>
      <c r="AF1" s="2" t="s">
        <v>37</v>
      </c>
      <c r="AH1" s="2" t="s">
        <v>38</v>
      </c>
      <c r="AI1" s="2" t="s">
        <v>39</v>
      </c>
      <c r="AK1" s="2" t="s">
        <v>38</v>
      </c>
      <c r="AL1" s="2" t="s">
        <v>39</v>
      </c>
    </row>
    <row r="2" spans="1:38" x14ac:dyDescent="0.25">
      <c r="A2" s="2" t="s">
        <v>7</v>
      </c>
      <c r="B2" s="2" t="s">
        <v>6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L2" s="2" t="s">
        <v>7</v>
      </c>
      <c r="M2" s="2" t="s">
        <v>6</v>
      </c>
      <c r="N2" s="2" t="s">
        <v>7</v>
      </c>
      <c r="O2" s="2" t="s">
        <v>22</v>
      </c>
      <c r="P2" s="2" t="s">
        <v>22</v>
      </c>
      <c r="R2" s="2" t="s">
        <v>7</v>
      </c>
      <c r="S2" s="2" t="s">
        <v>6</v>
      </c>
      <c r="T2" s="2" t="s">
        <v>6</v>
      </c>
      <c r="U2" s="2" t="s">
        <v>22</v>
      </c>
      <c r="W2" s="2" t="s">
        <v>6</v>
      </c>
      <c r="X2" s="2" t="s">
        <v>22</v>
      </c>
      <c r="Y2" s="2" t="s">
        <v>22</v>
      </c>
      <c r="Z2" s="2" t="s">
        <v>22</v>
      </c>
      <c r="AA2" s="2" t="s">
        <v>22</v>
      </c>
      <c r="AB2" s="2" t="s">
        <v>22</v>
      </c>
      <c r="AC2" s="2" t="s">
        <v>22</v>
      </c>
      <c r="AE2" s="2" t="s">
        <v>6</v>
      </c>
      <c r="AF2" s="2" t="s">
        <v>22</v>
      </c>
      <c r="AH2" s="2" t="s">
        <v>40</v>
      </c>
      <c r="AI2" s="2" t="s">
        <v>22</v>
      </c>
      <c r="AK2" s="2" t="s">
        <v>41</v>
      </c>
      <c r="AL2" s="2" t="s">
        <v>22</v>
      </c>
    </row>
    <row r="3" spans="1:38" x14ac:dyDescent="0.25">
      <c r="A3" s="2" t="s">
        <v>8</v>
      </c>
      <c r="B3" s="2" t="s">
        <v>6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L3" s="2" t="s">
        <v>7</v>
      </c>
      <c r="M3" s="2" t="s">
        <v>6</v>
      </c>
      <c r="N3" s="2" t="s">
        <v>27</v>
      </c>
      <c r="O3" s="2" t="s">
        <v>22</v>
      </c>
      <c r="P3" s="2" t="s">
        <v>22</v>
      </c>
      <c r="R3" s="2" t="s">
        <v>8</v>
      </c>
      <c r="S3" s="2" t="s">
        <v>6</v>
      </c>
      <c r="T3" s="2" t="s">
        <v>6</v>
      </c>
      <c r="U3" s="2" t="s">
        <v>22</v>
      </c>
      <c r="AK3" s="2" t="s">
        <v>42</v>
      </c>
      <c r="AL3" s="2" t="s">
        <v>22</v>
      </c>
    </row>
    <row r="4" spans="1:38" x14ac:dyDescent="0.25">
      <c r="A4" s="2" t="s">
        <v>9</v>
      </c>
      <c r="B4" s="2" t="s">
        <v>6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L4" s="2" t="s">
        <v>7</v>
      </c>
      <c r="M4" s="2" t="s">
        <v>6</v>
      </c>
      <c r="N4" s="2" t="s">
        <v>10</v>
      </c>
      <c r="O4" s="2" t="s">
        <v>22</v>
      </c>
      <c r="P4" s="2" t="s">
        <v>22</v>
      </c>
      <c r="R4" s="2" t="s">
        <v>9</v>
      </c>
      <c r="S4" s="2" t="s">
        <v>6</v>
      </c>
      <c r="T4" s="2" t="s">
        <v>6</v>
      </c>
      <c r="U4" s="2" t="s">
        <v>22</v>
      </c>
      <c r="AK4" s="2" t="s">
        <v>43</v>
      </c>
      <c r="AL4" s="2" t="s">
        <v>22</v>
      </c>
    </row>
    <row r="5" spans="1:38" x14ac:dyDescent="0.25">
      <c r="A5" s="2" t="s">
        <v>10</v>
      </c>
      <c r="B5" s="2" t="s">
        <v>6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L5" s="2" t="s">
        <v>7</v>
      </c>
      <c r="M5" s="2" t="s">
        <v>6</v>
      </c>
      <c r="N5" s="2" t="s">
        <v>11</v>
      </c>
      <c r="O5" s="2" t="s">
        <v>22</v>
      </c>
      <c r="P5" s="2" t="s">
        <v>22</v>
      </c>
      <c r="R5" s="2" t="s">
        <v>10</v>
      </c>
      <c r="S5" s="2" t="s">
        <v>6</v>
      </c>
      <c r="T5" s="2" t="s">
        <v>6</v>
      </c>
      <c r="U5" s="2" t="s">
        <v>22</v>
      </c>
      <c r="AK5" s="2" t="s">
        <v>44</v>
      </c>
      <c r="AL5" s="2" t="s">
        <v>22</v>
      </c>
    </row>
    <row r="6" spans="1:38" x14ac:dyDescent="0.25">
      <c r="A6" s="2" t="s">
        <v>11</v>
      </c>
      <c r="B6" s="2" t="s">
        <v>6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L6" s="2" t="s">
        <v>8</v>
      </c>
      <c r="M6" s="2" t="s">
        <v>6</v>
      </c>
      <c r="N6" s="2" t="s">
        <v>7</v>
      </c>
      <c r="O6" s="2" t="s">
        <v>22</v>
      </c>
      <c r="P6" s="2" t="s">
        <v>22</v>
      </c>
      <c r="R6" s="2" t="s">
        <v>11</v>
      </c>
      <c r="S6" s="2" t="s">
        <v>6</v>
      </c>
      <c r="T6" s="2" t="s">
        <v>6</v>
      </c>
      <c r="U6" s="2" t="s">
        <v>22</v>
      </c>
      <c r="AK6" s="2" t="s">
        <v>45</v>
      </c>
      <c r="AL6" s="2" t="s">
        <v>22</v>
      </c>
    </row>
    <row r="7" spans="1:38" x14ac:dyDescent="0.25">
      <c r="L7" s="2" t="s">
        <v>8</v>
      </c>
      <c r="M7" s="2" t="s">
        <v>6</v>
      </c>
      <c r="N7" s="2" t="s">
        <v>27</v>
      </c>
      <c r="O7" s="2" t="s">
        <v>22</v>
      </c>
      <c r="P7" s="2" t="s">
        <v>22</v>
      </c>
      <c r="AK7" s="2" t="s">
        <v>46</v>
      </c>
      <c r="AL7" s="2" t="s">
        <v>22</v>
      </c>
    </row>
    <row r="8" spans="1:38" x14ac:dyDescent="0.25">
      <c r="L8" s="2" t="s">
        <v>8</v>
      </c>
      <c r="M8" s="2" t="s">
        <v>6</v>
      </c>
      <c r="N8" s="2" t="s">
        <v>10</v>
      </c>
      <c r="O8" s="2" t="s">
        <v>22</v>
      </c>
      <c r="P8" s="2" t="s">
        <v>22</v>
      </c>
      <c r="AK8" s="2" t="s">
        <v>47</v>
      </c>
      <c r="AL8" s="2" t="s">
        <v>22</v>
      </c>
    </row>
    <row r="9" spans="1:38" x14ac:dyDescent="0.25">
      <c r="L9" s="2" t="s">
        <v>8</v>
      </c>
      <c r="M9" s="2" t="s">
        <v>6</v>
      </c>
      <c r="N9" s="2" t="s">
        <v>11</v>
      </c>
      <c r="O9" s="2" t="s">
        <v>22</v>
      </c>
      <c r="P9" s="2" t="s">
        <v>22</v>
      </c>
    </row>
    <row r="10" spans="1:38" x14ac:dyDescent="0.25">
      <c r="L10" s="2" t="s">
        <v>9</v>
      </c>
      <c r="M10" s="2" t="s">
        <v>6</v>
      </c>
      <c r="N10" s="2" t="s">
        <v>7</v>
      </c>
      <c r="O10" s="2" t="s">
        <v>22</v>
      </c>
      <c r="P10" s="2" t="s">
        <v>22</v>
      </c>
    </row>
    <row r="11" spans="1:38" x14ac:dyDescent="0.25">
      <c r="L11" s="2" t="s">
        <v>9</v>
      </c>
      <c r="M11" s="2" t="s">
        <v>6</v>
      </c>
      <c r="N11" s="2" t="s">
        <v>27</v>
      </c>
      <c r="O11" s="2" t="s">
        <v>22</v>
      </c>
      <c r="P11" s="2" t="s">
        <v>22</v>
      </c>
    </row>
    <row r="12" spans="1:38" x14ac:dyDescent="0.25">
      <c r="L12" s="2" t="s">
        <v>9</v>
      </c>
      <c r="M12" s="2" t="s">
        <v>6</v>
      </c>
      <c r="N12" s="2" t="s">
        <v>10</v>
      </c>
      <c r="O12" s="2" t="s">
        <v>22</v>
      </c>
      <c r="P12" s="2" t="s">
        <v>22</v>
      </c>
    </row>
    <row r="13" spans="1:38" x14ac:dyDescent="0.25">
      <c r="L13" s="2" t="s">
        <v>9</v>
      </c>
      <c r="M13" s="2" t="s">
        <v>6</v>
      </c>
      <c r="N13" s="2" t="s">
        <v>11</v>
      </c>
      <c r="O13" s="2" t="s">
        <v>22</v>
      </c>
      <c r="P13" s="2" t="s">
        <v>22</v>
      </c>
    </row>
    <row r="14" spans="1:38" x14ac:dyDescent="0.25">
      <c r="L14" s="2" t="s">
        <v>10</v>
      </c>
      <c r="M14" s="2" t="s">
        <v>6</v>
      </c>
      <c r="N14" s="2" t="s">
        <v>7</v>
      </c>
      <c r="O14" s="2" t="s">
        <v>22</v>
      </c>
      <c r="P14" s="2" t="s">
        <v>22</v>
      </c>
    </row>
    <row r="15" spans="1:38" x14ac:dyDescent="0.25">
      <c r="L15" s="2" t="s">
        <v>10</v>
      </c>
      <c r="M15" s="2" t="s">
        <v>6</v>
      </c>
      <c r="N15" s="2" t="s">
        <v>27</v>
      </c>
      <c r="O15" s="2" t="s">
        <v>22</v>
      </c>
      <c r="P15" s="2" t="s">
        <v>22</v>
      </c>
    </row>
    <row r="16" spans="1:38" x14ac:dyDescent="0.25">
      <c r="L16" s="2" t="s">
        <v>10</v>
      </c>
      <c r="M16" s="2" t="s">
        <v>6</v>
      </c>
      <c r="N16" s="2" t="s">
        <v>10</v>
      </c>
      <c r="O16" s="2" t="s">
        <v>22</v>
      </c>
      <c r="P16" s="2" t="s">
        <v>22</v>
      </c>
    </row>
    <row r="17" spans="12:16" x14ac:dyDescent="0.25">
      <c r="L17" s="2" t="s">
        <v>10</v>
      </c>
      <c r="M17" s="2" t="s">
        <v>6</v>
      </c>
      <c r="N17" s="2" t="s">
        <v>11</v>
      </c>
      <c r="O17" s="2" t="s">
        <v>22</v>
      </c>
      <c r="P17" s="2" t="s">
        <v>22</v>
      </c>
    </row>
    <row r="18" spans="12:16" x14ac:dyDescent="0.25">
      <c r="L18" s="2" t="s">
        <v>11</v>
      </c>
      <c r="M18" s="2" t="s">
        <v>6</v>
      </c>
      <c r="N18" s="2" t="s">
        <v>7</v>
      </c>
      <c r="O18" s="2" t="s">
        <v>22</v>
      </c>
      <c r="P18" s="2" t="s">
        <v>22</v>
      </c>
    </row>
    <row r="19" spans="12:16" x14ac:dyDescent="0.25">
      <c r="L19" s="2" t="s">
        <v>11</v>
      </c>
      <c r="M19" s="2" t="s">
        <v>6</v>
      </c>
      <c r="N19" s="2" t="s">
        <v>27</v>
      </c>
      <c r="O19" s="2" t="s">
        <v>22</v>
      </c>
      <c r="P19" s="2" t="s">
        <v>22</v>
      </c>
    </row>
    <row r="20" spans="12:16" x14ac:dyDescent="0.25">
      <c r="L20" s="2" t="s">
        <v>11</v>
      </c>
      <c r="M20" s="2" t="s">
        <v>6</v>
      </c>
      <c r="N20" s="2" t="s">
        <v>10</v>
      </c>
      <c r="O20" s="2" t="s">
        <v>22</v>
      </c>
      <c r="P20" s="2" t="s">
        <v>22</v>
      </c>
    </row>
    <row r="21" spans="12:16" x14ac:dyDescent="0.25">
      <c r="L21" s="2" t="s">
        <v>11</v>
      </c>
      <c r="M21" s="2" t="s">
        <v>6</v>
      </c>
      <c r="N21" s="2" t="s">
        <v>11</v>
      </c>
      <c r="O21" s="2" t="s">
        <v>22</v>
      </c>
      <c r="P21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4A06-FE13-4A37-8710-AC4CD239418C}">
  <dimension ref="A1:C50"/>
  <sheetViews>
    <sheetView topLeftCell="A25" zoomScale="115" zoomScaleNormal="115" workbookViewId="0">
      <selection activeCell="C47" sqref="C47"/>
    </sheetView>
  </sheetViews>
  <sheetFormatPr defaultColWidth="8.5703125" defaultRowHeight="15" customHeight="1" x14ac:dyDescent="0.25"/>
  <cols>
    <col min="1" max="1" width="14.140625" style="4" bestFit="1" customWidth="1"/>
    <col min="2" max="2" width="7" style="4" customWidth="1"/>
    <col min="3" max="3" width="60.42578125" style="4" customWidth="1"/>
    <col min="4" max="16384" width="8.5703125" style="4"/>
  </cols>
  <sheetData>
    <row r="1" spans="1:3" ht="15" customHeight="1" x14ac:dyDescent="0.25">
      <c r="A1" s="3" t="s">
        <v>48</v>
      </c>
      <c r="B1" s="3" t="s">
        <v>39</v>
      </c>
      <c r="C1" s="3" t="s">
        <v>76</v>
      </c>
    </row>
    <row r="2" spans="1:3" ht="15" customHeight="1" x14ac:dyDescent="0.25">
      <c r="A2" s="4" t="s">
        <v>49</v>
      </c>
      <c r="B2" s="4">
        <v>5</v>
      </c>
      <c r="C2" s="4" t="s">
        <v>77</v>
      </c>
    </row>
    <row r="3" spans="1:3" ht="15" customHeight="1" x14ac:dyDescent="0.25">
      <c r="A3" s="26" t="s">
        <v>50</v>
      </c>
      <c r="B3" s="27"/>
      <c r="C3" s="27"/>
    </row>
    <row r="4" spans="1:3" ht="15" customHeight="1" x14ac:dyDescent="0.25">
      <c r="A4" s="4" t="s">
        <v>51</v>
      </c>
      <c r="B4" s="4">
        <f>15/100</f>
        <v>0.15</v>
      </c>
      <c r="C4" s="4" t="s">
        <v>298</v>
      </c>
    </row>
    <row r="5" spans="1:3" ht="15" customHeight="1" x14ac:dyDescent="0.25">
      <c r="A5" s="26" t="s">
        <v>52</v>
      </c>
      <c r="B5" s="27"/>
      <c r="C5" s="27"/>
    </row>
    <row r="6" spans="1:3" ht="15" customHeight="1" x14ac:dyDescent="0.25">
      <c r="A6" s="4" t="s">
        <v>410</v>
      </c>
      <c r="B6" s="4">
        <v>0.3</v>
      </c>
      <c r="C6" s="4" t="s">
        <v>411</v>
      </c>
    </row>
    <row r="7" spans="1:3" ht="15" customHeight="1" x14ac:dyDescent="0.25">
      <c r="A7" s="4" t="s">
        <v>53</v>
      </c>
      <c r="B7" s="4">
        <f>0/100</f>
        <v>0</v>
      </c>
      <c r="C7" s="4" t="s">
        <v>299</v>
      </c>
    </row>
    <row r="8" spans="1:3" ht="15" customHeight="1" x14ac:dyDescent="0.25">
      <c r="A8" s="26" t="s">
        <v>300</v>
      </c>
      <c r="B8" s="27"/>
      <c r="C8" s="27"/>
    </row>
    <row r="9" spans="1:3" ht="15" customHeight="1" x14ac:dyDescent="0.25">
      <c r="A9" s="4" t="s">
        <v>301</v>
      </c>
      <c r="B9" s="4">
        <v>0.22</v>
      </c>
      <c r="C9" s="4" t="s">
        <v>302</v>
      </c>
    </row>
    <row r="10" spans="1:3" ht="15" customHeight="1" x14ac:dyDescent="0.25">
      <c r="A10" s="4" t="s">
        <v>54</v>
      </c>
      <c r="B10" s="4">
        <v>0.78</v>
      </c>
      <c r="C10" s="4" t="s">
        <v>303</v>
      </c>
    </row>
    <row r="11" spans="1:3" ht="15" customHeight="1" x14ac:dyDescent="0.25">
      <c r="A11" s="4" t="s">
        <v>304</v>
      </c>
      <c r="B11" s="4">
        <v>0</v>
      </c>
      <c r="C11" s="4" t="s">
        <v>305</v>
      </c>
    </row>
    <row r="12" spans="1:3" ht="15" customHeight="1" x14ac:dyDescent="0.25">
      <c r="A12" s="26" t="s">
        <v>306</v>
      </c>
      <c r="B12" s="27"/>
      <c r="C12" s="27"/>
    </row>
    <row r="13" spans="1:3" ht="15" customHeight="1" x14ac:dyDescent="0.25">
      <c r="A13" s="4" t="s">
        <v>55</v>
      </c>
      <c r="B13" s="4">
        <f>83/1000</f>
        <v>8.3000000000000004E-2</v>
      </c>
      <c r="C13" s="4" t="s">
        <v>307</v>
      </c>
    </row>
    <row r="14" spans="1:3" ht="15" customHeight="1" x14ac:dyDescent="0.25">
      <c r="A14" s="26" t="s">
        <v>56</v>
      </c>
      <c r="B14" s="27"/>
      <c r="C14" s="27"/>
    </row>
    <row r="15" spans="1:3" ht="15" customHeight="1" x14ac:dyDescent="0.25">
      <c r="A15" s="4" t="s">
        <v>57</v>
      </c>
      <c r="B15" s="4">
        <v>1</v>
      </c>
      <c r="C15" s="4" t="s">
        <v>308</v>
      </c>
    </row>
    <row r="16" spans="1:3" ht="15" customHeight="1" x14ac:dyDescent="0.25">
      <c r="A16" s="26" t="s">
        <v>58</v>
      </c>
      <c r="B16" s="27"/>
      <c r="C16" s="27"/>
    </row>
    <row r="17" spans="1:3" ht="15" customHeight="1" x14ac:dyDescent="0.25">
      <c r="A17" s="4" t="s">
        <v>59</v>
      </c>
      <c r="B17" s="4">
        <f>0.68*B15</f>
        <v>0.68</v>
      </c>
      <c r="C17" s="4" t="s">
        <v>309</v>
      </c>
    </row>
    <row r="18" spans="1:3" ht="15" customHeight="1" x14ac:dyDescent="0.25">
      <c r="A18" s="26" t="s">
        <v>310</v>
      </c>
      <c r="B18" s="27"/>
      <c r="C18" s="27"/>
    </row>
    <row r="19" spans="1:3" ht="15" customHeight="1" x14ac:dyDescent="0.25">
      <c r="A19" s="4" t="s">
        <v>60</v>
      </c>
      <c r="B19" s="4">
        <f>25</f>
        <v>25</v>
      </c>
      <c r="C19" s="4" t="s">
        <v>311</v>
      </c>
    </row>
    <row r="20" spans="1:3" ht="15" customHeight="1" x14ac:dyDescent="0.25">
      <c r="A20" s="26" t="s">
        <v>61</v>
      </c>
      <c r="B20" s="27"/>
      <c r="C20" s="27"/>
    </row>
    <row r="21" spans="1:3" ht="15" customHeight="1" x14ac:dyDescent="0.25">
      <c r="A21" s="4" t="s">
        <v>62</v>
      </c>
      <c r="B21" s="4">
        <f>0</f>
        <v>0</v>
      </c>
      <c r="C21" s="4" t="s">
        <v>312</v>
      </c>
    </row>
    <row r="22" spans="1:3" ht="15" customHeight="1" x14ac:dyDescent="0.25">
      <c r="A22" s="4" t="s">
        <v>63</v>
      </c>
      <c r="B22" s="4">
        <f>0</f>
        <v>0</v>
      </c>
      <c r="C22" s="4" t="s">
        <v>78</v>
      </c>
    </row>
    <row r="23" spans="1:3" ht="15" customHeight="1" x14ac:dyDescent="0.25">
      <c r="A23" s="26" t="s">
        <v>64</v>
      </c>
      <c r="B23" s="27"/>
      <c r="C23" s="27"/>
    </row>
    <row r="24" spans="1:3" ht="15" customHeight="1" x14ac:dyDescent="0.25">
      <c r="A24" s="4" t="s">
        <v>65</v>
      </c>
      <c r="B24" s="4">
        <v>4.3849021879782603E-2</v>
      </c>
      <c r="C24" s="4" t="s">
        <v>79</v>
      </c>
    </row>
    <row r="25" spans="1:3" ht="15" customHeight="1" x14ac:dyDescent="0.25">
      <c r="A25" s="4" t="s">
        <v>66</v>
      </c>
      <c r="B25" s="4">
        <v>1.8617519651186701E-2</v>
      </c>
      <c r="C25" s="4" t="s">
        <v>80</v>
      </c>
    </row>
    <row r="26" spans="1:3" ht="15" customHeight="1" x14ac:dyDescent="0.25">
      <c r="A26" s="4" t="s">
        <v>67</v>
      </c>
      <c r="B26" s="4">
        <v>3.3232510115608002E-3</v>
      </c>
      <c r="C26" s="4" t="s">
        <v>81</v>
      </c>
    </row>
    <row r="27" spans="1:3" ht="15" customHeight="1" x14ac:dyDescent="0.25">
      <c r="A27" s="4" t="s">
        <v>68</v>
      </c>
      <c r="B27" s="4">
        <v>0.112422074941918</v>
      </c>
      <c r="C27" s="4" t="s">
        <v>82</v>
      </c>
    </row>
    <row r="28" spans="1:3" ht="15" customHeight="1" x14ac:dyDescent="0.25">
      <c r="A28" s="4" t="s">
        <v>69</v>
      </c>
      <c r="B28" s="5">
        <v>0.1642731910413037</v>
      </c>
      <c r="C28" s="4" t="s">
        <v>83</v>
      </c>
    </row>
    <row r="29" spans="1:3" ht="15" customHeight="1" x14ac:dyDescent="0.25">
      <c r="A29" s="26" t="s">
        <v>70</v>
      </c>
      <c r="B29" s="27"/>
      <c r="C29" s="27"/>
    </row>
    <row r="30" spans="1:3" ht="15" customHeight="1" x14ac:dyDescent="0.25">
      <c r="A30" s="4" t="s">
        <v>71</v>
      </c>
      <c r="B30" s="4">
        <v>0.18421936911787201</v>
      </c>
      <c r="C30" s="4" t="s">
        <v>84</v>
      </c>
    </row>
    <row r="31" spans="1:3" ht="15" customHeight="1" x14ac:dyDescent="0.25">
      <c r="A31" s="4" t="s">
        <v>72</v>
      </c>
      <c r="B31" s="4">
        <v>2.9001364893822601E-2</v>
      </c>
      <c r="C31" s="4" t="s">
        <v>85</v>
      </c>
    </row>
    <row r="32" spans="1:3" ht="15" customHeight="1" x14ac:dyDescent="0.25">
      <c r="A32" s="4" t="s">
        <v>73</v>
      </c>
      <c r="B32" s="4">
        <v>3.36522831688537E-3</v>
      </c>
      <c r="C32" s="4" t="s">
        <v>86</v>
      </c>
    </row>
    <row r="33" spans="1:3" ht="15" customHeight="1" x14ac:dyDescent="0.25">
      <c r="A33" s="4" t="s">
        <v>74</v>
      </c>
      <c r="B33" s="4">
        <v>0.35574793972965002</v>
      </c>
      <c r="C33" s="4" t="s">
        <v>87</v>
      </c>
    </row>
    <row r="34" spans="1:3" ht="15" customHeight="1" x14ac:dyDescent="0.25">
      <c r="A34" s="4" t="s">
        <v>75</v>
      </c>
      <c r="B34" s="4">
        <v>0.42766609794177102</v>
      </c>
      <c r="C34" s="4" t="s">
        <v>88</v>
      </c>
    </row>
    <row r="35" spans="1:3" ht="15" customHeight="1" x14ac:dyDescent="0.25">
      <c r="A35" s="26" t="s">
        <v>70</v>
      </c>
      <c r="B35" s="27"/>
      <c r="C35" s="27"/>
    </row>
    <row r="36" spans="1:3" ht="15" customHeight="1" x14ac:dyDescent="0.25">
      <c r="A36" s="4" t="s">
        <v>313</v>
      </c>
      <c r="B36" s="4">
        <v>0.48</v>
      </c>
      <c r="C36" s="4" t="s">
        <v>314</v>
      </c>
    </row>
    <row r="37" spans="1:3" ht="15" customHeight="1" x14ac:dyDescent="0.25">
      <c r="A37" s="4" t="s">
        <v>315</v>
      </c>
      <c r="B37" s="4">
        <v>0.5</v>
      </c>
      <c r="C37" s="4" t="s">
        <v>316</v>
      </c>
    </row>
    <row r="38" spans="1:3" ht="15" customHeight="1" x14ac:dyDescent="0.25">
      <c r="A38" s="4" t="s">
        <v>317</v>
      </c>
      <c r="B38" s="4">
        <v>0.01</v>
      </c>
      <c r="C38" s="4" t="s">
        <v>318</v>
      </c>
    </row>
    <row r="39" spans="1:3" ht="15" customHeight="1" x14ac:dyDescent="0.25">
      <c r="A39" s="4" t="s">
        <v>319</v>
      </c>
      <c r="B39" s="4">
        <v>0.08</v>
      </c>
      <c r="C39" s="4" t="s">
        <v>87</v>
      </c>
    </row>
    <row r="40" spans="1:3" ht="15" customHeight="1" x14ac:dyDescent="0.25">
      <c r="A40" s="4" t="s">
        <v>320</v>
      </c>
      <c r="B40" s="4">
        <v>0.3</v>
      </c>
      <c r="C40" s="4" t="s">
        <v>88</v>
      </c>
    </row>
    <row r="41" spans="1:3" ht="15" customHeight="1" x14ac:dyDescent="0.25">
      <c r="A41" s="26" t="s">
        <v>321</v>
      </c>
      <c r="B41" s="27"/>
      <c r="C41" s="27"/>
    </row>
    <row r="42" spans="1:3" ht="15" customHeight="1" x14ac:dyDescent="0.25">
      <c r="A42" s="4" t="s">
        <v>322</v>
      </c>
      <c r="B42" s="4">
        <f>0.018*2</f>
        <v>3.5999999999999997E-2</v>
      </c>
      <c r="C42" s="4" t="s">
        <v>323</v>
      </c>
    </row>
    <row r="43" spans="1:3" ht="15" customHeight="1" x14ac:dyDescent="0.25">
      <c r="A43" s="4" t="s">
        <v>324</v>
      </c>
      <c r="B43" s="4">
        <v>1.2999999999999999E-2</v>
      </c>
      <c r="C43" s="4" t="s">
        <v>325</v>
      </c>
    </row>
    <row r="44" spans="1:3" ht="15" customHeight="1" x14ac:dyDescent="0.25">
      <c r="A44" s="4" t="s">
        <v>326</v>
      </c>
      <c r="B44" s="4">
        <v>0.1</v>
      </c>
      <c r="C44" s="4" t="s">
        <v>327</v>
      </c>
    </row>
    <row r="45" spans="1:3" ht="15" customHeight="1" x14ac:dyDescent="0.25">
      <c r="A45" s="26" t="s">
        <v>70</v>
      </c>
      <c r="B45" s="27"/>
      <c r="C45" s="27"/>
    </row>
    <row r="46" spans="1:3" ht="15" customHeight="1" x14ac:dyDescent="0.25">
      <c r="A46" s="4" t="s">
        <v>405</v>
      </c>
      <c r="B46" s="4">
        <v>0.2</v>
      </c>
      <c r="C46" s="4" t="s">
        <v>314</v>
      </c>
    </row>
    <row r="47" spans="1:3" ht="15" customHeight="1" x14ac:dyDescent="0.25">
      <c r="A47" s="4" t="s">
        <v>406</v>
      </c>
      <c r="B47" s="4">
        <v>0.14000000000000001</v>
      </c>
      <c r="C47" s="4" t="s">
        <v>316</v>
      </c>
    </row>
    <row r="48" spans="1:3" ht="15" customHeight="1" x14ac:dyDescent="0.25">
      <c r="A48" s="4" t="s">
        <v>407</v>
      </c>
      <c r="B48" s="4">
        <v>0.2</v>
      </c>
      <c r="C48" s="4" t="s">
        <v>318</v>
      </c>
    </row>
    <row r="49" spans="1:3" ht="15" customHeight="1" x14ac:dyDescent="0.25">
      <c r="A49" s="4" t="s">
        <v>408</v>
      </c>
      <c r="B49" s="4">
        <v>0.7</v>
      </c>
      <c r="C49" s="4" t="s">
        <v>87</v>
      </c>
    </row>
    <row r="50" spans="1:3" ht="15" customHeight="1" x14ac:dyDescent="0.25">
      <c r="A50" s="4" t="s">
        <v>409</v>
      </c>
      <c r="B50" s="4">
        <v>0.2</v>
      </c>
      <c r="C50" s="4" t="s">
        <v>88</v>
      </c>
    </row>
  </sheetData>
  <mergeCells count="13">
    <mergeCell ref="A45:C45"/>
    <mergeCell ref="A41:C41"/>
    <mergeCell ref="A3:C3"/>
    <mergeCell ref="A5:C5"/>
    <mergeCell ref="A8:C8"/>
    <mergeCell ref="A12:C12"/>
    <mergeCell ref="A14:C14"/>
    <mergeCell ref="A16:C16"/>
    <mergeCell ref="A18:C18"/>
    <mergeCell ref="A20:C20"/>
    <mergeCell ref="A23:C23"/>
    <mergeCell ref="A29:C29"/>
    <mergeCell ref="A35:C3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773-2217-4A15-8F36-7940A6632C72}">
  <dimension ref="A1:C158"/>
  <sheetViews>
    <sheetView tabSelected="1" topLeftCell="A143" zoomScale="145" zoomScaleNormal="145" workbookViewId="0">
      <selection activeCell="B155" sqref="B155"/>
    </sheetView>
  </sheetViews>
  <sheetFormatPr defaultColWidth="8.5703125" defaultRowHeight="15" customHeight="1" x14ac:dyDescent="0.25"/>
  <cols>
    <col min="1" max="1" width="16" style="4" customWidth="1"/>
    <col min="2" max="2" width="15.7109375" style="4" customWidth="1"/>
    <col min="3" max="3" width="122.5703125" style="4" customWidth="1"/>
    <col min="4" max="16384" width="8.5703125" style="4"/>
  </cols>
  <sheetData>
    <row r="1" spans="1:3" ht="15" customHeight="1" x14ac:dyDescent="0.25">
      <c r="A1" s="3" t="s">
        <v>48</v>
      </c>
      <c r="B1" s="3" t="s">
        <v>39</v>
      </c>
      <c r="C1" s="3" t="s">
        <v>76</v>
      </c>
    </row>
    <row r="2" spans="1:3" ht="15" customHeight="1" x14ac:dyDescent="0.25">
      <c r="A2" s="4" t="s">
        <v>89</v>
      </c>
      <c r="B2" s="4">
        <v>0.97</v>
      </c>
      <c r="C2" s="4" t="s">
        <v>217</v>
      </c>
    </row>
    <row r="3" spans="1:3" ht="15" customHeight="1" x14ac:dyDescent="0.25">
      <c r="A3" s="4" t="s">
        <v>328</v>
      </c>
      <c r="B3" s="4">
        <v>0.05</v>
      </c>
      <c r="C3" s="4" t="s">
        <v>218</v>
      </c>
    </row>
    <row r="4" spans="1:3" ht="15" customHeight="1" x14ac:dyDescent="0.25">
      <c r="A4" s="4" t="s">
        <v>90</v>
      </c>
      <c r="B4" s="6">
        <v>0.1</v>
      </c>
      <c r="C4" s="4" t="s">
        <v>219</v>
      </c>
    </row>
    <row r="5" spans="1:3" ht="15" customHeight="1" x14ac:dyDescent="0.25">
      <c r="A5" s="4" t="s">
        <v>329</v>
      </c>
      <c r="B5" s="6">
        <v>0.1</v>
      </c>
      <c r="C5" s="4" t="s">
        <v>219</v>
      </c>
    </row>
    <row r="6" spans="1:3" ht="15" customHeight="1" x14ac:dyDescent="0.25">
      <c r="A6" s="4" t="s">
        <v>91</v>
      </c>
      <c r="B6" s="4">
        <v>1</v>
      </c>
      <c r="C6" s="4" t="s">
        <v>220</v>
      </c>
    </row>
    <row r="7" spans="1:3" ht="15" customHeight="1" x14ac:dyDescent="0.25">
      <c r="A7" s="4" t="s">
        <v>92</v>
      </c>
      <c r="B7" s="4">
        <v>1</v>
      </c>
      <c r="C7" s="4" t="s">
        <v>221</v>
      </c>
    </row>
    <row r="8" spans="1:3" ht="15" customHeight="1" x14ac:dyDescent="0.25">
      <c r="A8" s="4" t="s">
        <v>93</v>
      </c>
      <c r="B8" s="4">
        <v>0.6</v>
      </c>
      <c r="C8" s="4" t="s">
        <v>222</v>
      </c>
    </row>
    <row r="9" spans="1:3" ht="15" customHeight="1" x14ac:dyDescent="0.25">
      <c r="A9" s="4" t="s">
        <v>94</v>
      </c>
      <c r="B9" s="4">
        <v>0.6</v>
      </c>
      <c r="C9" s="4" t="s">
        <v>223</v>
      </c>
    </row>
    <row r="10" spans="1:3" ht="15" customHeight="1" x14ac:dyDescent="0.25">
      <c r="A10" s="4" t="s">
        <v>95</v>
      </c>
      <c r="B10" s="7">
        <v>0.6</v>
      </c>
      <c r="C10" s="4" t="s">
        <v>224</v>
      </c>
    </row>
    <row r="11" spans="1:3" ht="15" customHeight="1" x14ac:dyDescent="0.25">
      <c r="A11" s="4" t="s">
        <v>412</v>
      </c>
      <c r="B11" s="4">
        <v>7.0000000000000007E-2</v>
      </c>
      <c r="C11" s="4" t="s">
        <v>225</v>
      </c>
    </row>
    <row r="12" spans="1:3" ht="15" customHeight="1" x14ac:dyDescent="0.25">
      <c r="A12" s="4" t="s">
        <v>413</v>
      </c>
      <c r="B12" s="4">
        <v>0</v>
      </c>
      <c r="C12" s="4" t="s">
        <v>226</v>
      </c>
    </row>
    <row r="13" spans="1:3" ht="15" customHeight="1" x14ac:dyDescent="0.25">
      <c r="A13" s="4" t="s">
        <v>414</v>
      </c>
      <c r="B13" s="4">
        <v>0</v>
      </c>
      <c r="C13" s="4" t="s">
        <v>227</v>
      </c>
    </row>
    <row r="14" spans="1:3" ht="15" customHeight="1" x14ac:dyDescent="0.25">
      <c r="A14" s="26" t="s">
        <v>96</v>
      </c>
      <c r="B14" s="27"/>
      <c r="C14" s="27"/>
    </row>
    <row r="15" spans="1:3" ht="15" customHeight="1" x14ac:dyDescent="0.25">
      <c r="A15" s="4" t="s">
        <v>97</v>
      </c>
      <c r="B15" s="4">
        <v>1</v>
      </c>
      <c r="C15" s="4" t="s">
        <v>228</v>
      </c>
    </row>
    <row r="16" spans="1:3" ht="15" customHeight="1" x14ac:dyDescent="0.25">
      <c r="A16" s="4" t="s">
        <v>98</v>
      </c>
      <c r="B16" s="4">
        <v>5</v>
      </c>
      <c r="C16" s="4" t="s">
        <v>229</v>
      </c>
    </row>
    <row r="17" spans="1:3" ht="15" customHeight="1" x14ac:dyDescent="0.25">
      <c r="A17" s="4" t="s">
        <v>99</v>
      </c>
      <c r="B17" s="4">
        <v>1</v>
      </c>
      <c r="C17" s="4" t="s">
        <v>230</v>
      </c>
    </row>
    <row r="18" spans="1:3" ht="15" customHeight="1" x14ac:dyDescent="0.25">
      <c r="A18" s="4" t="s">
        <v>100</v>
      </c>
      <c r="B18" s="4">
        <v>1</v>
      </c>
      <c r="C18" s="4" t="s">
        <v>231</v>
      </c>
    </row>
    <row r="19" spans="1:3" ht="15" customHeight="1" x14ac:dyDescent="0.25">
      <c r="A19" s="4" t="s">
        <v>101</v>
      </c>
      <c r="B19" s="4">
        <v>1</v>
      </c>
      <c r="C19" s="4" t="s">
        <v>232</v>
      </c>
    </row>
    <row r="20" spans="1:3" ht="15" customHeight="1" x14ac:dyDescent="0.25">
      <c r="A20" s="26" t="s">
        <v>102</v>
      </c>
      <c r="B20" s="27"/>
      <c r="C20" s="27"/>
    </row>
    <row r="21" spans="1:3" ht="15" customHeight="1" x14ac:dyDescent="0.25">
      <c r="A21" s="4" t="s">
        <v>103</v>
      </c>
      <c r="B21" s="4">
        <v>2</v>
      </c>
      <c r="C21" s="4" t="s">
        <v>233</v>
      </c>
    </row>
    <row r="22" spans="1:3" ht="15" customHeight="1" x14ac:dyDescent="0.25">
      <c r="A22" s="4" t="s">
        <v>104</v>
      </c>
      <c r="B22" s="4">
        <v>2</v>
      </c>
      <c r="C22" s="4" t="s">
        <v>234</v>
      </c>
    </row>
    <row r="23" spans="1:3" ht="15" customHeight="1" x14ac:dyDescent="0.25">
      <c r="A23" s="4" t="s">
        <v>105</v>
      </c>
      <c r="B23" s="4">
        <v>2</v>
      </c>
      <c r="C23" s="4" t="s">
        <v>235</v>
      </c>
    </row>
    <row r="24" spans="1:3" ht="15" customHeight="1" x14ac:dyDescent="0.25">
      <c r="A24" s="4" t="s">
        <v>106</v>
      </c>
      <c r="B24" s="4">
        <v>2</v>
      </c>
      <c r="C24" s="4" t="s">
        <v>236</v>
      </c>
    </row>
    <row r="25" spans="1:3" ht="15" customHeight="1" x14ac:dyDescent="0.25">
      <c r="A25" s="4" t="s">
        <v>107</v>
      </c>
      <c r="B25" s="4">
        <v>2</v>
      </c>
      <c r="C25" s="4" t="s">
        <v>237</v>
      </c>
    </row>
    <row r="26" spans="1:3" ht="15" customHeight="1" x14ac:dyDescent="0.25">
      <c r="A26" s="26" t="s">
        <v>108</v>
      </c>
      <c r="B26" s="27"/>
      <c r="C26" s="27"/>
    </row>
    <row r="27" spans="1:3" ht="15" customHeight="1" x14ac:dyDescent="0.25">
      <c r="A27" s="4" t="s">
        <v>109</v>
      </c>
      <c r="B27" s="4">
        <v>5.0541697935392371E-2</v>
      </c>
      <c r="C27" s="4" t="s">
        <v>238</v>
      </c>
    </row>
    <row r="28" spans="1:3" ht="15" customHeight="1" x14ac:dyDescent="0.25">
      <c r="A28" s="4" t="s">
        <v>110</v>
      </c>
      <c r="B28" s="4">
        <v>1.8970945624203761E-2</v>
      </c>
      <c r="C28" s="4" t="s">
        <v>239</v>
      </c>
    </row>
    <row r="29" spans="1:3" ht="15" customHeight="1" x14ac:dyDescent="0.25">
      <c r="A29" s="4" t="s">
        <v>111</v>
      </c>
      <c r="B29" s="4">
        <v>2.6778385442998501E-3</v>
      </c>
      <c r="C29" s="4" t="s">
        <v>240</v>
      </c>
    </row>
    <row r="30" spans="1:3" ht="15" customHeight="1" x14ac:dyDescent="0.25">
      <c r="A30" s="4" t="s">
        <v>112</v>
      </c>
      <c r="B30" s="4">
        <v>0.47721581952771652</v>
      </c>
      <c r="C30" s="4" t="s">
        <v>241</v>
      </c>
    </row>
    <row r="31" spans="1:3" ht="15" customHeight="1" x14ac:dyDescent="0.25">
      <c r="A31" s="4" t="s">
        <v>113</v>
      </c>
      <c r="B31" s="4">
        <v>0.1081086398426357</v>
      </c>
      <c r="C31" s="4" t="s">
        <v>242</v>
      </c>
    </row>
    <row r="32" spans="1:3" ht="15" customHeight="1" x14ac:dyDescent="0.25">
      <c r="A32" s="26" t="s">
        <v>114</v>
      </c>
      <c r="B32" s="27"/>
      <c r="C32" s="27"/>
    </row>
    <row r="33" spans="1:3" ht="15" customHeight="1" x14ac:dyDescent="0.25">
      <c r="A33" s="4" t="s">
        <v>115</v>
      </c>
      <c r="B33" s="4">
        <v>3.5541008973436201E-3</v>
      </c>
      <c r="C33" s="4" t="s">
        <v>243</v>
      </c>
    </row>
    <row r="34" spans="1:3" ht="15" customHeight="1" x14ac:dyDescent="0.25">
      <c r="A34" s="4" t="s">
        <v>116</v>
      </c>
      <c r="B34" s="4">
        <v>1.63033360104539E-3</v>
      </c>
      <c r="C34" s="4" t="s">
        <v>244</v>
      </c>
    </row>
    <row r="35" spans="1:3" ht="15" customHeight="1" x14ac:dyDescent="0.25">
      <c r="A35" s="4" t="s">
        <v>117</v>
      </c>
      <c r="B35" s="4">
        <v>1E-3</v>
      </c>
      <c r="C35" s="4" t="s">
        <v>245</v>
      </c>
    </row>
    <row r="36" spans="1:3" ht="15" customHeight="1" x14ac:dyDescent="0.25">
      <c r="A36" s="4" t="s">
        <v>118</v>
      </c>
      <c r="B36" s="4">
        <v>3.8262887217700499E-2</v>
      </c>
      <c r="C36" s="4" t="s">
        <v>246</v>
      </c>
    </row>
    <row r="37" spans="1:3" ht="15" customHeight="1" x14ac:dyDescent="0.25">
      <c r="A37" s="4" t="s">
        <v>119</v>
      </c>
      <c r="B37" s="4">
        <v>3.1851583840066199E-3</v>
      </c>
      <c r="C37" s="4" t="s">
        <v>247</v>
      </c>
    </row>
    <row r="38" spans="1:3" ht="15" customHeight="1" x14ac:dyDescent="0.25">
      <c r="A38" s="26" t="s">
        <v>120</v>
      </c>
      <c r="B38" s="27"/>
      <c r="C38" s="27"/>
    </row>
    <row r="39" spans="1:3" ht="15" customHeight="1" x14ac:dyDescent="0.25">
      <c r="A39" s="4" t="s">
        <v>121</v>
      </c>
      <c r="B39" s="4">
        <v>2.1345398939753801E-2</v>
      </c>
      <c r="C39" s="4" t="s">
        <v>248</v>
      </c>
    </row>
    <row r="40" spans="1:3" ht="15" customHeight="1" x14ac:dyDescent="0.25">
      <c r="A40" s="4" t="s">
        <v>122</v>
      </c>
      <c r="B40" s="4">
        <v>1.9046009569366001E-2</v>
      </c>
      <c r="C40" s="4" t="s">
        <v>249</v>
      </c>
    </row>
    <row r="41" spans="1:3" ht="15" customHeight="1" x14ac:dyDescent="0.25">
      <c r="A41" s="4" t="s">
        <v>123</v>
      </c>
      <c r="B41" s="4">
        <v>3.5363100675160202E-4</v>
      </c>
      <c r="C41" s="4" t="s">
        <v>250</v>
      </c>
    </row>
    <row r="42" spans="1:3" ht="15" customHeight="1" x14ac:dyDescent="0.25">
      <c r="A42" s="4" t="s">
        <v>124</v>
      </c>
      <c r="B42" s="4">
        <v>0.181111309312077</v>
      </c>
      <c r="C42" s="4" t="s">
        <v>251</v>
      </c>
    </row>
    <row r="43" spans="1:3" ht="15" customHeight="1" x14ac:dyDescent="0.25">
      <c r="A43" s="4" t="s">
        <v>125</v>
      </c>
      <c r="B43" s="4">
        <v>2.5526241462421599E-2</v>
      </c>
      <c r="C43" s="4" t="s">
        <v>252</v>
      </c>
    </row>
    <row r="44" spans="1:3" ht="15" customHeight="1" x14ac:dyDescent="0.25">
      <c r="A44" s="26" t="s">
        <v>330</v>
      </c>
      <c r="B44" s="27"/>
      <c r="C44" s="27"/>
    </row>
    <row r="45" spans="1:3" ht="15" customHeight="1" x14ac:dyDescent="0.25">
      <c r="A45" s="4" t="s">
        <v>126</v>
      </c>
      <c r="B45" s="4">
        <v>6.9606135777650199E-3</v>
      </c>
      <c r="C45" s="4" t="s">
        <v>331</v>
      </c>
    </row>
    <row r="46" spans="1:3" ht="15" customHeight="1" x14ac:dyDescent="0.25">
      <c r="A46" s="4" t="s">
        <v>127</v>
      </c>
      <c r="B46" s="4">
        <v>4.0000000000000001E-3</v>
      </c>
      <c r="C46" s="4" t="s">
        <v>332</v>
      </c>
    </row>
    <row r="47" spans="1:3" ht="15" customHeight="1" x14ac:dyDescent="0.25">
      <c r="A47" s="4" t="s">
        <v>128</v>
      </c>
      <c r="B47" s="4">
        <v>1E-4</v>
      </c>
      <c r="C47" s="4" t="s">
        <v>333</v>
      </c>
    </row>
    <row r="48" spans="1:3" ht="15" customHeight="1" x14ac:dyDescent="0.25">
      <c r="A48" s="4" t="s">
        <v>129</v>
      </c>
      <c r="B48" s="4">
        <v>0.26208945244385901</v>
      </c>
      <c r="C48" s="4" t="s">
        <v>334</v>
      </c>
    </row>
    <row r="49" spans="1:3" ht="15" customHeight="1" x14ac:dyDescent="0.25">
      <c r="A49" s="4" t="s">
        <v>130</v>
      </c>
      <c r="B49" s="4">
        <v>3.36508607041189E-2</v>
      </c>
      <c r="C49" s="4" t="s">
        <v>335</v>
      </c>
    </row>
    <row r="50" spans="1:3" ht="15" customHeight="1" x14ac:dyDescent="0.25">
      <c r="A50" s="26" t="s">
        <v>336</v>
      </c>
      <c r="B50" s="27"/>
      <c r="C50" s="27"/>
    </row>
    <row r="51" spans="1:3" ht="15" customHeight="1" x14ac:dyDescent="0.25">
      <c r="A51" s="4" t="s">
        <v>131</v>
      </c>
      <c r="B51" s="4">
        <v>1</v>
      </c>
      <c r="C51" s="4" t="s">
        <v>337</v>
      </c>
    </row>
    <row r="52" spans="1:3" ht="15" customHeight="1" x14ac:dyDescent="0.25">
      <c r="A52" s="4" t="s">
        <v>132</v>
      </c>
      <c r="B52" s="4">
        <v>1</v>
      </c>
      <c r="C52" s="4" t="s">
        <v>338</v>
      </c>
    </row>
    <row r="53" spans="1:3" ht="15" customHeight="1" x14ac:dyDescent="0.25">
      <c r="A53" s="4" t="s">
        <v>133</v>
      </c>
      <c r="B53" s="4">
        <v>1</v>
      </c>
      <c r="C53" s="4" t="s">
        <v>339</v>
      </c>
    </row>
    <row r="54" spans="1:3" ht="15" customHeight="1" x14ac:dyDescent="0.25">
      <c r="A54" s="4" t="s">
        <v>134</v>
      </c>
      <c r="B54" s="4">
        <v>1</v>
      </c>
      <c r="C54" s="4" t="s">
        <v>340</v>
      </c>
    </row>
    <row r="55" spans="1:3" ht="15" customHeight="1" x14ac:dyDescent="0.25">
      <c r="A55" s="4" t="s">
        <v>135</v>
      </c>
      <c r="B55" s="4">
        <v>1</v>
      </c>
      <c r="C55" s="4" t="s">
        <v>341</v>
      </c>
    </row>
    <row r="56" spans="1:3" ht="15" customHeight="1" x14ac:dyDescent="0.25">
      <c r="A56" s="26">
        <v>1</v>
      </c>
      <c r="B56" s="27"/>
      <c r="C56" s="27"/>
    </row>
    <row r="57" spans="1:3" ht="15" customHeight="1" x14ac:dyDescent="0.25">
      <c r="A57" s="4" t="s">
        <v>136</v>
      </c>
      <c r="B57" s="4">
        <v>0.1</v>
      </c>
      <c r="C57" s="4" t="s">
        <v>342</v>
      </c>
    </row>
    <row r="58" spans="1:3" ht="15" customHeight="1" x14ac:dyDescent="0.25">
      <c r="A58" s="4" t="s">
        <v>137</v>
      </c>
      <c r="B58" s="4">
        <v>0.1</v>
      </c>
      <c r="C58" s="4" t="s">
        <v>343</v>
      </c>
    </row>
    <row r="59" spans="1:3" ht="15" customHeight="1" x14ac:dyDescent="0.25">
      <c r="A59" s="4" t="s">
        <v>138</v>
      </c>
      <c r="B59" s="4">
        <v>0.1</v>
      </c>
      <c r="C59" s="4" t="s">
        <v>344</v>
      </c>
    </row>
    <row r="60" spans="1:3" ht="15" customHeight="1" x14ac:dyDescent="0.25">
      <c r="A60" s="4" t="s">
        <v>139</v>
      </c>
      <c r="B60" s="4">
        <v>0.1</v>
      </c>
      <c r="C60" s="4" t="s">
        <v>345</v>
      </c>
    </row>
    <row r="61" spans="1:3" ht="15" customHeight="1" x14ac:dyDescent="0.25">
      <c r="A61" s="4" t="s">
        <v>140</v>
      </c>
      <c r="B61" s="4">
        <v>0.1</v>
      </c>
      <c r="C61" s="4" t="s">
        <v>346</v>
      </c>
    </row>
    <row r="62" spans="1:3" ht="15" customHeight="1" x14ac:dyDescent="0.25">
      <c r="A62" s="26" t="s">
        <v>141</v>
      </c>
      <c r="B62" s="27"/>
      <c r="C62" s="27"/>
    </row>
    <row r="63" spans="1:3" ht="15" customHeight="1" x14ac:dyDescent="0.25">
      <c r="A63" s="4" t="s">
        <v>142</v>
      </c>
      <c r="B63" s="4">
        <v>3.9525934010030003E-2</v>
      </c>
      <c r="C63" s="4" t="s">
        <v>253</v>
      </c>
    </row>
    <row r="64" spans="1:3" ht="15" customHeight="1" x14ac:dyDescent="0.25">
      <c r="A64" s="4" t="s">
        <v>143</v>
      </c>
      <c r="B64" s="4">
        <v>6.2225054861662198E-3</v>
      </c>
      <c r="C64" s="4" t="s">
        <v>254</v>
      </c>
    </row>
    <row r="65" spans="1:3" ht="14.45" customHeight="1" x14ac:dyDescent="0.25">
      <c r="A65" s="4" t="s">
        <v>144</v>
      </c>
      <c r="B65" s="4">
        <v>7.2204021226881599E-4</v>
      </c>
      <c r="C65" s="4" t="s">
        <v>255</v>
      </c>
    </row>
    <row r="66" spans="1:3" ht="14.45" customHeight="1" x14ac:dyDescent="0.25">
      <c r="A66" s="4" t="s">
        <v>145</v>
      </c>
      <c r="B66" s="4">
        <v>7.6328942267527095E-2</v>
      </c>
      <c r="C66" s="4" t="s">
        <v>256</v>
      </c>
    </row>
    <row r="67" spans="1:3" ht="14.45" customHeight="1" x14ac:dyDescent="0.25">
      <c r="A67" s="4" t="s">
        <v>146</v>
      </c>
      <c r="B67" s="4">
        <v>9.17596344321297E-2</v>
      </c>
      <c r="C67" s="4" t="s">
        <v>257</v>
      </c>
    </row>
    <row r="68" spans="1:3" ht="14.45" customHeight="1" x14ac:dyDescent="0.25">
      <c r="A68" s="26" t="s">
        <v>347</v>
      </c>
      <c r="B68" s="27"/>
      <c r="C68" s="27"/>
    </row>
    <row r="69" spans="1:3" ht="14.45" customHeight="1" x14ac:dyDescent="0.25">
      <c r="A69" s="4" t="s">
        <v>147</v>
      </c>
      <c r="B69" s="4">
        <v>1</v>
      </c>
      <c r="C69" s="4" t="s">
        <v>348</v>
      </c>
    </row>
    <row r="70" spans="1:3" ht="14.45" customHeight="1" x14ac:dyDescent="0.25">
      <c r="A70" s="4" t="s">
        <v>148</v>
      </c>
      <c r="B70" s="4">
        <v>1</v>
      </c>
      <c r="C70" s="4" t="s">
        <v>349</v>
      </c>
    </row>
    <row r="71" spans="1:3" ht="14.45" customHeight="1" x14ac:dyDescent="0.25">
      <c r="A71" s="4" t="s">
        <v>149</v>
      </c>
      <c r="B71" s="4">
        <v>1</v>
      </c>
      <c r="C71" s="4" t="s">
        <v>350</v>
      </c>
    </row>
    <row r="72" spans="1:3" ht="14.45" customHeight="1" x14ac:dyDescent="0.25">
      <c r="A72" s="4" t="s">
        <v>150</v>
      </c>
      <c r="B72" s="4">
        <v>1</v>
      </c>
      <c r="C72" s="4" t="s">
        <v>351</v>
      </c>
    </row>
    <row r="73" spans="1:3" ht="14.45" customHeight="1" x14ac:dyDescent="0.25">
      <c r="A73" s="4" t="s">
        <v>151</v>
      </c>
      <c r="B73" s="4">
        <v>1</v>
      </c>
      <c r="C73" s="4" t="s">
        <v>352</v>
      </c>
    </row>
    <row r="74" spans="1:3" ht="14.45" customHeight="1" x14ac:dyDescent="0.25">
      <c r="A74" s="26" t="s">
        <v>152</v>
      </c>
      <c r="B74" s="27"/>
      <c r="C74" s="27"/>
    </row>
    <row r="75" spans="1:3" ht="14.45" customHeight="1" x14ac:dyDescent="0.25">
      <c r="A75" s="4" t="s">
        <v>153</v>
      </c>
      <c r="B75" s="4">
        <v>0</v>
      </c>
      <c r="C75" s="4" t="s">
        <v>258</v>
      </c>
    </row>
    <row r="76" spans="1:3" ht="14.45" customHeight="1" x14ac:dyDescent="0.25">
      <c r="A76" s="4" t="s">
        <v>154</v>
      </c>
      <c r="B76" s="4">
        <v>0</v>
      </c>
      <c r="C76" s="4" t="s">
        <v>259</v>
      </c>
    </row>
    <row r="77" spans="1:3" ht="14.45" customHeight="1" x14ac:dyDescent="0.25">
      <c r="A77" s="4" t="s">
        <v>155</v>
      </c>
      <c r="B77" s="4">
        <v>0</v>
      </c>
      <c r="C77" s="4" t="s">
        <v>260</v>
      </c>
    </row>
    <row r="78" spans="1:3" ht="14.45" customHeight="1" x14ac:dyDescent="0.25">
      <c r="A78" s="4" t="s">
        <v>156</v>
      </c>
      <c r="B78" s="4">
        <v>0</v>
      </c>
      <c r="C78" s="4" t="s">
        <v>261</v>
      </c>
    </row>
    <row r="79" spans="1:3" ht="14.45" customHeight="1" x14ac:dyDescent="0.25">
      <c r="A79" s="4" t="s">
        <v>157</v>
      </c>
      <c r="B79" s="4">
        <v>0</v>
      </c>
      <c r="C79" s="4" t="s">
        <v>262</v>
      </c>
    </row>
    <row r="80" spans="1:3" ht="14.45" customHeight="1" x14ac:dyDescent="0.25">
      <c r="A80" s="26" t="s">
        <v>158</v>
      </c>
      <c r="B80" s="27"/>
      <c r="C80" s="27"/>
    </row>
    <row r="81" spans="1:3" ht="14.45" customHeight="1" x14ac:dyDescent="0.25">
      <c r="A81" s="4" t="s">
        <v>159</v>
      </c>
      <c r="B81" s="4">
        <v>0</v>
      </c>
      <c r="C81" s="4" t="s">
        <v>263</v>
      </c>
    </row>
    <row r="82" spans="1:3" ht="14.45" customHeight="1" x14ac:dyDescent="0.25">
      <c r="A82" s="4" t="s">
        <v>160</v>
      </c>
      <c r="B82" s="4">
        <v>0</v>
      </c>
      <c r="C82" s="4" t="s">
        <v>264</v>
      </c>
    </row>
    <row r="83" spans="1:3" ht="14.45" customHeight="1" x14ac:dyDescent="0.25">
      <c r="A83" s="4" t="s">
        <v>161</v>
      </c>
      <c r="B83" s="4">
        <v>0</v>
      </c>
      <c r="C83" s="4" t="s">
        <v>265</v>
      </c>
    </row>
    <row r="84" spans="1:3" ht="14.45" customHeight="1" x14ac:dyDescent="0.25">
      <c r="A84" s="4" t="s">
        <v>162</v>
      </c>
      <c r="B84" s="4">
        <v>0</v>
      </c>
      <c r="C84" s="4" t="s">
        <v>266</v>
      </c>
    </row>
    <row r="85" spans="1:3" ht="14.45" customHeight="1" x14ac:dyDescent="0.25">
      <c r="A85" s="4" t="s">
        <v>163</v>
      </c>
      <c r="B85" s="4">
        <v>0</v>
      </c>
      <c r="C85" s="4" t="s">
        <v>267</v>
      </c>
    </row>
    <row r="86" spans="1:3" ht="14.45" customHeight="1" x14ac:dyDescent="0.25">
      <c r="A86" s="26" t="s">
        <v>164</v>
      </c>
      <c r="B86" s="27"/>
      <c r="C86" s="27"/>
    </row>
    <row r="87" spans="1:3" ht="14.45" customHeight="1" x14ac:dyDescent="0.25">
      <c r="A87" s="4" t="s">
        <v>165</v>
      </c>
      <c r="B87" s="4">
        <v>0</v>
      </c>
      <c r="C87" s="4" t="s">
        <v>268</v>
      </c>
    </row>
    <row r="88" spans="1:3" ht="14.45" customHeight="1" x14ac:dyDescent="0.25">
      <c r="A88" s="4" t="s">
        <v>166</v>
      </c>
      <c r="B88" s="4">
        <v>1</v>
      </c>
      <c r="C88" s="4" t="s">
        <v>269</v>
      </c>
    </row>
    <row r="89" spans="1:3" ht="14.45" customHeight="1" x14ac:dyDescent="0.25">
      <c r="A89" s="4" t="s">
        <v>167</v>
      </c>
      <c r="B89" s="4">
        <v>0</v>
      </c>
      <c r="C89" s="4" t="s">
        <v>270</v>
      </c>
    </row>
    <row r="90" spans="1:3" ht="14.45" customHeight="1" x14ac:dyDescent="0.25">
      <c r="A90" s="4" t="s">
        <v>168</v>
      </c>
      <c r="B90" s="4">
        <v>0</v>
      </c>
      <c r="C90" s="4" t="s">
        <v>271</v>
      </c>
    </row>
    <row r="91" spans="1:3" ht="14.45" customHeight="1" x14ac:dyDescent="0.25">
      <c r="A91" s="4" t="s">
        <v>169</v>
      </c>
      <c r="B91" s="4">
        <v>0</v>
      </c>
      <c r="C91" s="4" t="s">
        <v>272</v>
      </c>
    </row>
    <row r="92" spans="1:3" ht="14.45" customHeight="1" x14ac:dyDescent="0.25">
      <c r="A92" s="26" t="s">
        <v>164</v>
      </c>
      <c r="B92" s="27"/>
      <c r="C92" s="27"/>
    </row>
    <row r="93" spans="1:3" ht="14.45" customHeight="1" x14ac:dyDescent="0.25">
      <c r="A93" s="4" t="s">
        <v>353</v>
      </c>
      <c r="B93" s="4">
        <v>1</v>
      </c>
      <c r="C93" s="4" t="s">
        <v>268</v>
      </c>
    </row>
    <row r="94" spans="1:3" ht="14.45" customHeight="1" x14ac:dyDescent="0.25">
      <c r="A94" s="4" t="s">
        <v>354</v>
      </c>
      <c r="B94" s="4">
        <v>0</v>
      </c>
      <c r="C94" s="4" t="s">
        <v>269</v>
      </c>
    </row>
    <row r="95" spans="1:3" ht="14.45" customHeight="1" x14ac:dyDescent="0.25">
      <c r="A95" s="4" t="s">
        <v>355</v>
      </c>
      <c r="B95" s="4">
        <v>0</v>
      </c>
      <c r="C95" s="4" t="s">
        <v>270</v>
      </c>
    </row>
    <row r="96" spans="1:3" ht="14.45" customHeight="1" x14ac:dyDescent="0.25">
      <c r="A96" s="4" t="s">
        <v>356</v>
      </c>
      <c r="B96" s="4">
        <v>0</v>
      </c>
      <c r="C96" s="4" t="s">
        <v>271</v>
      </c>
    </row>
    <row r="97" spans="1:3" ht="14.45" customHeight="1" x14ac:dyDescent="0.25">
      <c r="A97" s="4" t="s">
        <v>357</v>
      </c>
      <c r="B97" s="4">
        <v>0</v>
      </c>
      <c r="C97" s="4" t="s">
        <v>272</v>
      </c>
    </row>
    <row r="98" spans="1:3" ht="14.45" customHeight="1" x14ac:dyDescent="0.25">
      <c r="A98" s="26" t="s">
        <v>170</v>
      </c>
      <c r="B98" s="27"/>
      <c r="C98" s="27"/>
    </row>
    <row r="99" spans="1:3" ht="14.45" customHeight="1" x14ac:dyDescent="0.25">
      <c r="A99" s="4" t="s">
        <v>171</v>
      </c>
      <c r="B99" s="4">
        <v>1.44222269304676E-2</v>
      </c>
      <c r="C99" s="4" t="s">
        <v>273</v>
      </c>
    </row>
    <row r="100" spans="1:3" ht="14.45" customHeight="1" x14ac:dyDescent="0.25">
      <c r="A100" s="4" t="s">
        <v>172</v>
      </c>
      <c r="B100" s="4">
        <v>4.0981972394379422E-3</v>
      </c>
      <c r="C100" s="4" t="s">
        <v>274</v>
      </c>
    </row>
    <row r="101" spans="1:3" ht="14.45" customHeight="1" x14ac:dyDescent="0.25">
      <c r="A101" s="4" t="s">
        <v>173</v>
      </c>
      <c r="B101" s="4">
        <v>2.7046072302106101E-2</v>
      </c>
      <c r="C101" s="4" t="s">
        <v>275</v>
      </c>
    </row>
    <row r="102" spans="1:3" ht="14.45" customHeight="1" x14ac:dyDescent="0.25">
      <c r="A102" s="4" t="s">
        <v>174</v>
      </c>
      <c r="B102" s="4">
        <v>4.9752014633807299E-3</v>
      </c>
      <c r="C102" s="4" t="s">
        <v>276</v>
      </c>
    </row>
    <row r="103" spans="1:3" ht="14.45" customHeight="1" x14ac:dyDescent="0.25">
      <c r="A103" s="4" t="s">
        <v>175</v>
      </c>
      <c r="B103" s="4">
        <v>6.4131046250132996E-4</v>
      </c>
      <c r="C103" s="4" t="s">
        <v>277</v>
      </c>
    </row>
    <row r="104" spans="1:3" ht="14.45" customHeight="1" x14ac:dyDescent="0.25">
      <c r="A104" s="4" t="s">
        <v>176</v>
      </c>
      <c r="B104" s="4">
        <v>1.224437127612526E-2</v>
      </c>
      <c r="C104" s="4" t="s">
        <v>278</v>
      </c>
    </row>
    <row r="105" spans="1:3" ht="14.45" customHeight="1" x14ac:dyDescent="0.25">
      <c r="A105" s="4" t="s">
        <v>177</v>
      </c>
      <c r="B105" s="4">
        <v>3.4208064696140401E-3</v>
      </c>
      <c r="C105" s="4" t="s">
        <v>279</v>
      </c>
    </row>
    <row r="106" spans="1:3" ht="14.45" customHeight="1" x14ac:dyDescent="0.25">
      <c r="A106" s="4" t="s">
        <v>178</v>
      </c>
      <c r="B106" s="4">
        <v>2.6644574159631301E-3</v>
      </c>
      <c r="C106" s="4" t="s">
        <v>280</v>
      </c>
    </row>
    <row r="107" spans="1:3" ht="14.45" customHeight="1" x14ac:dyDescent="0.25">
      <c r="A107" s="4" t="s">
        <v>179</v>
      </c>
      <c r="B107" s="4">
        <v>1.280984048025E-4</v>
      </c>
      <c r="C107" s="4" t="s">
        <v>281</v>
      </c>
    </row>
    <row r="108" spans="1:3" ht="14.45" customHeight="1" x14ac:dyDescent="0.25">
      <c r="A108" s="4" t="s">
        <v>180</v>
      </c>
      <c r="B108" s="4">
        <v>1.7209486019506041E-3</v>
      </c>
      <c r="C108" s="4" t="s">
        <v>282</v>
      </c>
    </row>
    <row r="109" spans="1:3" ht="14.45" customHeight="1" x14ac:dyDescent="0.25">
      <c r="A109" s="4" t="s">
        <v>181</v>
      </c>
      <c r="B109" s="4">
        <v>5.5382681947262701E-4</v>
      </c>
      <c r="C109" s="4" t="s">
        <v>283</v>
      </c>
    </row>
    <row r="110" spans="1:3" ht="14.45" customHeight="1" x14ac:dyDescent="0.25">
      <c r="A110" s="4" t="s">
        <v>182</v>
      </c>
      <c r="B110" s="4">
        <v>3.90253282396369E-4</v>
      </c>
      <c r="C110" s="4" t="s">
        <v>284</v>
      </c>
    </row>
    <row r="111" spans="1:3" ht="14.45" customHeight="1" x14ac:dyDescent="0.25">
      <c r="A111" s="4" t="s">
        <v>183</v>
      </c>
      <c r="B111" s="4">
        <v>6.8289060727302606E-2</v>
      </c>
      <c r="C111" s="4" t="s">
        <v>285</v>
      </c>
    </row>
    <row r="112" spans="1:3" ht="14.45" customHeight="1" x14ac:dyDescent="0.25">
      <c r="A112" s="4" t="s">
        <v>184</v>
      </c>
      <c r="B112" s="4">
        <v>2.4087550126933029E-2</v>
      </c>
      <c r="C112" s="4" t="s">
        <v>286</v>
      </c>
    </row>
    <row r="113" spans="1:3" ht="14.45" customHeight="1" x14ac:dyDescent="0.25">
      <c r="A113" s="4" t="s">
        <v>185</v>
      </c>
      <c r="B113" s="4">
        <v>0.33230489238954602</v>
      </c>
      <c r="C113" s="4" t="s">
        <v>287</v>
      </c>
    </row>
    <row r="114" spans="1:3" ht="14.45" customHeight="1" x14ac:dyDescent="0.25">
      <c r="A114" s="4" t="s">
        <v>186</v>
      </c>
      <c r="B114" s="4">
        <v>5.2534316283934797E-2</v>
      </c>
      <c r="C114" s="4" t="s">
        <v>288</v>
      </c>
    </row>
    <row r="115" spans="1:3" ht="14.45" customHeight="1" x14ac:dyDescent="0.25">
      <c r="A115" s="4" t="s">
        <v>187</v>
      </c>
      <c r="B115" s="4">
        <v>5.8979093180919996E-3</v>
      </c>
      <c r="C115" s="4" t="s">
        <v>289</v>
      </c>
    </row>
    <row r="116" spans="1:3" ht="14.45" customHeight="1" x14ac:dyDescent="0.25">
      <c r="A116" s="4" t="s">
        <v>188</v>
      </c>
      <c r="B116" s="4">
        <v>1.437780142330744E-2</v>
      </c>
      <c r="C116" s="4" t="s">
        <v>290</v>
      </c>
    </row>
    <row r="117" spans="1:3" ht="14.45" customHeight="1" x14ac:dyDescent="0.25">
      <c r="A117" s="4" t="s">
        <v>189</v>
      </c>
      <c r="B117" s="4">
        <v>3.7154401221751503E-2</v>
      </c>
      <c r="C117" s="4" t="s">
        <v>291</v>
      </c>
    </row>
    <row r="118" spans="1:3" ht="14.45" customHeight="1" x14ac:dyDescent="0.25">
      <c r="A118" s="4" t="s">
        <v>190</v>
      </c>
      <c r="B118" s="4">
        <v>5.0678527879484798E-2</v>
      </c>
      <c r="C118" s="4" t="s">
        <v>292</v>
      </c>
    </row>
    <row r="119" spans="1:3" ht="14.45" customHeight="1" x14ac:dyDescent="0.25">
      <c r="A119" s="26" t="s">
        <v>358</v>
      </c>
      <c r="B119" s="27"/>
      <c r="C119" s="27"/>
    </row>
    <row r="120" spans="1:3" ht="14.45" customHeight="1" x14ac:dyDescent="0.25">
      <c r="A120" s="4" t="s">
        <v>191</v>
      </c>
      <c r="B120" s="4">
        <v>0</v>
      </c>
      <c r="C120" s="4" t="s">
        <v>359</v>
      </c>
    </row>
    <row r="121" spans="1:3" ht="14.45" customHeight="1" x14ac:dyDescent="0.25">
      <c r="A121" s="4" t="s">
        <v>192</v>
      </c>
      <c r="B121" s="4">
        <v>0</v>
      </c>
      <c r="C121" s="4" t="s">
        <v>360</v>
      </c>
    </row>
    <row r="122" spans="1:3" ht="14.45" customHeight="1" x14ac:dyDescent="0.25">
      <c r="A122" s="4" t="s">
        <v>193</v>
      </c>
      <c r="B122" s="4">
        <v>0</v>
      </c>
      <c r="C122" s="4" t="s">
        <v>361</v>
      </c>
    </row>
    <row r="123" spans="1:3" ht="14.45" customHeight="1" x14ac:dyDescent="0.25">
      <c r="A123" s="4" t="s">
        <v>194</v>
      </c>
      <c r="B123" s="4">
        <v>0</v>
      </c>
      <c r="C123" s="4" t="s">
        <v>362</v>
      </c>
    </row>
    <row r="124" spans="1:3" ht="14.45" customHeight="1" x14ac:dyDescent="0.25">
      <c r="A124" s="4" t="s">
        <v>195</v>
      </c>
      <c r="B124" s="4">
        <v>0</v>
      </c>
      <c r="C124" s="4" t="s">
        <v>363</v>
      </c>
    </row>
    <row r="125" spans="1:3" ht="14.45" customHeight="1" x14ac:dyDescent="0.25">
      <c r="A125" s="4" t="s">
        <v>196</v>
      </c>
      <c r="B125" s="4">
        <v>0</v>
      </c>
      <c r="C125" s="4" t="s">
        <v>364</v>
      </c>
    </row>
    <row r="126" spans="1:3" ht="14.45" customHeight="1" x14ac:dyDescent="0.25">
      <c r="A126" s="4" t="s">
        <v>197</v>
      </c>
      <c r="B126" s="4">
        <v>0</v>
      </c>
      <c r="C126" s="4" t="s">
        <v>365</v>
      </c>
    </row>
    <row r="127" spans="1:3" ht="14.45" customHeight="1" x14ac:dyDescent="0.25">
      <c r="A127" s="4" t="s">
        <v>198</v>
      </c>
      <c r="B127" s="4">
        <v>0</v>
      </c>
      <c r="C127" s="4" t="s">
        <v>366</v>
      </c>
    </row>
    <row r="128" spans="1:3" ht="14.45" customHeight="1" x14ac:dyDescent="0.25">
      <c r="A128" s="4" t="s">
        <v>199</v>
      </c>
      <c r="B128" s="4">
        <v>0</v>
      </c>
      <c r="C128" s="4" t="s">
        <v>367</v>
      </c>
    </row>
    <row r="129" spans="1:3" ht="14.45" customHeight="1" x14ac:dyDescent="0.25">
      <c r="A129" s="4" t="s">
        <v>200</v>
      </c>
      <c r="B129" s="4">
        <v>0</v>
      </c>
      <c r="C129" s="4" t="s">
        <v>368</v>
      </c>
    </row>
    <row r="130" spans="1:3" ht="14.45" customHeight="1" x14ac:dyDescent="0.25">
      <c r="A130" s="4" t="s">
        <v>201</v>
      </c>
      <c r="B130" s="4">
        <v>0</v>
      </c>
      <c r="C130" s="4" t="s">
        <v>369</v>
      </c>
    </row>
    <row r="131" spans="1:3" ht="14.45" customHeight="1" x14ac:dyDescent="0.25">
      <c r="A131" s="4" t="s">
        <v>202</v>
      </c>
      <c r="B131" s="4">
        <v>0</v>
      </c>
      <c r="C131" s="4" t="s">
        <v>370</v>
      </c>
    </row>
    <row r="132" spans="1:3" ht="14.45" customHeight="1" x14ac:dyDescent="0.25">
      <c r="A132" s="4" t="s">
        <v>203</v>
      </c>
      <c r="B132" s="4">
        <v>0</v>
      </c>
      <c r="C132" s="4" t="s">
        <v>371</v>
      </c>
    </row>
    <row r="133" spans="1:3" ht="14.45" customHeight="1" x14ac:dyDescent="0.25">
      <c r="A133" s="4" t="s">
        <v>204</v>
      </c>
      <c r="B133" s="4">
        <v>0</v>
      </c>
      <c r="C133" s="4" t="s">
        <v>372</v>
      </c>
    </row>
    <row r="134" spans="1:3" ht="14.45" customHeight="1" x14ac:dyDescent="0.25">
      <c r="A134" s="4" t="s">
        <v>205</v>
      </c>
      <c r="B134" s="4">
        <v>0</v>
      </c>
      <c r="C134" s="4" t="s">
        <v>373</v>
      </c>
    </row>
    <row r="135" spans="1:3" ht="14.45" customHeight="1" x14ac:dyDescent="0.25">
      <c r="A135" s="4" t="s">
        <v>206</v>
      </c>
      <c r="B135" s="4">
        <v>0</v>
      </c>
      <c r="C135" s="4" t="s">
        <v>374</v>
      </c>
    </row>
    <row r="136" spans="1:3" ht="14.45" customHeight="1" x14ac:dyDescent="0.25">
      <c r="A136" s="4" t="s">
        <v>207</v>
      </c>
      <c r="B136" s="4">
        <v>0</v>
      </c>
      <c r="C136" s="4" t="s">
        <v>375</v>
      </c>
    </row>
    <row r="137" spans="1:3" ht="14.45" customHeight="1" x14ac:dyDescent="0.25">
      <c r="A137" s="4" t="s">
        <v>208</v>
      </c>
      <c r="B137" s="4">
        <v>0</v>
      </c>
      <c r="C137" s="4" t="s">
        <v>376</v>
      </c>
    </row>
    <row r="138" spans="1:3" ht="14.45" customHeight="1" x14ac:dyDescent="0.25">
      <c r="A138" s="4" t="s">
        <v>209</v>
      </c>
      <c r="B138" s="4">
        <v>0</v>
      </c>
      <c r="C138" s="4" t="s">
        <v>377</v>
      </c>
    </row>
    <row r="139" spans="1:3" ht="14.45" customHeight="1" x14ac:dyDescent="0.25">
      <c r="A139" s="4" t="s">
        <v>210</v>
      </c>
      <c r="B139" s="4">
        <v>0</v>
      </c>
      <c r="C139" s="4" t="s">
        <v>378</v>
      </c>
    </row>
    <row r="140" spans="1:3" ht="14.45" customHeight="1" x14ac:dyDescent="0.25">
      <c r="A140" s="26" t="s">
        <v>211</v>
      </c>
      <c r="B140" s="27"/>
      <c r="C140" s="27"/>
    </row>
    <row r="141" spans="1:3" ht="14.45" customHeight="1" x14ac:dyDescent="0.25">
      <c r="A141" s="4" t="s">
        <v>212</v>
      </c>
      <c r="B141" s="4">
        <v>1</v>
      </c>
      <c r="C141" s="4" t="s">
        <v>293</v>
      </c>
    </row>
    <row r="142" spans="1:3" ht="14.45" customHeight="1" x14ac:dyDescent="0.25">
      <c r="A142" s="4" t="s">
        <v>213</v>
      </c>
      <c r="B142" s="4">
        <v>1</v>
      </c>
      <c r="C142" s="4" t="s">
        <v>294</v>
      </c>
    </row>
    <row r="143" spans="1:3" ht="14.45" customHeight="1" x14ac:dyDescent="0.25">
      <c r="A143" s="4" t="s">
        <v>214</v>
      </c>
      <c r="B143" s="4">
        <v>1</v>
      </c>
      <c r="C143" s="4" t="s">
        <v>295</v>
      </c>
    </row>
    <row r="144" spans="1:3" ht="14.45" customHeight="1" x14ac:dyDescent="0.25">
      <c r="A144" s="4" t="s">
        <v>215</v>
      </c>
      <c r="B144" s="4">
        <v>1</v>
      </c>
      <c r="C144" s="4" t="s">
        <v>296</v>
      </c>
    </row>
    <row r="145" spans="1:3" ht="14.45" customHeight="1" x14ac:dyDescent="0.25">
      <c r="A145" s="4" t="s">
        <v>216</v>
      </c>
      <c r="B145" s="4">
        <v>1</v>
      </c>
      <c r="C145" s="4" t="s">
        <v>297</v>
      </c>
    </row>
    <row r="146" spans="1:3" ht="15" customHeight="1" x14ac:dyDescent="0.25">
      <c r="A146" s="26" t="s">
        <v>379</v>
      </c>
      <c r="B146" s="27"/>
      <c r="C146" s="27"/>
    </row>
    <row r="147" spans="1:3" ht="15" customHeight="1" x14ac:dyDescent="0.25">
      <c r="A147" s="4" t="s">
        <v>380</v>
      </c>
      <c r="B147" s="4">
        <v>5</v>
      </c>
      <c r="C147" s="4" t="s">
        <v>381</v>
      </c>
    </row>
    <row r="148" spans="1:3" ht="15" customHeight="1" x14ac:dyDescent="0.25">
      <c r="A148" s="4" t="s">
        <v>382</v>
      </c>
      <c r="B148" s="4">
        <v>5</v>
      </c>
      <c r="C148" s="4" t="s">
        <v>294</v>
      </c>
    </row>
    <row r="149" spans="1:3" ht="15" customHeight="1" x14ac:dyDescent="0.25">
      <c r="A149" s="4" t="s">
        <v>383</v>
      </c>
      <c r="B149" s="4">
        <v>5</v>
      </c>
      <c r="C149" s="4" t="s">
        <v>295</v>
      </c>
    </row>
    <row r="150" spans="1:3" ht="15" customHeight="1" x14ac:dyDescent="0.25">
      <c r="A150" s="4" t="s">
        <v>384</v>
      </c>
      <c r="B150" s="4">
        <v>5</v>
      </c>
      <c r="C150" s="4" t="s">
        <v>295</v>
      </c>
    </row>
    <row r="151" spans="1:3" ht="15" customHeight="1" x14ac:dyDescent="0.25">
      <c r="A151" s="4" t="s">
        <v>385</v>
      </c>
      <c r="B151" s="4">
        <v>5</v>
      </c>
      <c r="C151" s="4" t="s">
        <v>297</v>
      </c>
    </row>
    <row r="152" spans="1:3" ht="15" customHeight="1" x14ac:dyDescent="0.25">
      <c r="A152" s="26" t="s">
        <v>386</v>
      </c>
      <c r="B152" s="27"/>
      <c r="C152" s="27"/>
    </row>
    <row r="153" spans="1:3" ht="15" customHeight="1" x14ac:dyDescent="0.25">
      <c r="A153" s="4" t="s">
        <v>387</v>
      </c>
      <c r="B153" s="4">
        <v>0.05</v>
      </c>
      <c r="C153" s="4" t="s">
        <v>388</v>
      </c>
    </row>
    <row r="154" spans="1:3" ht="15" customHeight="1" x14ac:dyDescent="0.25">
      <c r="A154" s="4" t="s">
        <v>389</v>
      </c>
      <c r="B154" s="4">
        <v>0.05</v>
      </c>
      <c r="C154" s="4" t="s">
        <v>390</v>
      </c>
    </row>
    <row r="155" spans="1:3" ht="15" customHeight="1" x14ac:dyDescent="0.25">
      <c r="A155" s="4" t="s">
        <v>391</v>
      </c>
      <c r="B155" s="4">
        <v>0.05</v>
      </c>
      <c r="C155" s="4" t="s">
        <v>392</v>
      </c>
    </row>
    <row r="156" spans="1:3" ht="15" customHeight="1" x14ac:dyDescent="0.25">
      <c r="A156" s="4" t="s">
        <v>393</v>
      </c>
      <c r="B156" s="4">
        <v>0.05</v>
      </c>
      <c r="C156" s="4" t="s">
        <v>394</v>
      </c>
    </row>
    <row r="157" spans="1:3" ht="15" customHeight="1" x14ac:dyDescent="0.25">
      <c r="A157" s="4" t="s">
        <v>395</v>
      </c>
      <c r="B157" s="4">
        <v>0.05</v>
      </c>
      <c r="C157" s="4" t="s">
        <v>396</v>
      </c>
    </row>
    <row r="158" spans="1:3" x14ac:dyDescent="0.25">
      <c r="A158" s="4" t="s">
        <v>415</v>
      </c>
      <c r="B158" s="4">
        <v>9.5291000000000001E-2</v>
      </c>
      <c r="C158" s="4" t="s">
        <v>416</v>
      </c>
    </row>
  </sheetData>
  <mergeCells count="19">
    <mergeCell ref="A80:C80"/>
    <mergeCell ref="A14:C14"/>
    <mergeCell ref="A20:C20"/>
    <mergeCell ref="A26:C26"/>
    <mergeCell ref="A32:C32"/>
    <mergeCell ref="A38:C38"/>
    <mergeCell ref="A44:C44"/>
    <mergeCell ref="A50:C50"/>
    <mergeCell ref="A56:C56"/>
    <mergeCell ref="A62:C62"/>
    <mergeCell ref="A68:C68"/>
    <mergeCell ref="A74:C74"/>
    <mergeCell ref="A152:C152"/>
    <mergeCell ref="A86:C86"/>
    <mergeCell ref="A92:C92"/>
    <mergeCell ref="A98:C98"/>
    <mergeCell ref="A119:C119"/>
    <mergeCell ref="A140:C140"/>
    <mergeCell ref="A146:C146"/>
  </mergeCells>
  <pageMargins left="0.7" right="0.7" top="0.75" bottom="0.75" header="0.51181102362205" footer="0.5118110236220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102</vt:i4>
      </vt:variant>
    </vt:vector>
  </HeadingPairs>
  <TitlesOfParts>
    <vt:vector size="107" baseType="lpstr">
      <vt:lpstr>Content</vt:lpstr>
      <vt:lpstr>IO_Data</vt:lpstr>
      <vt:lpstr>Data</vt:lpstr>
      <vt:lpstr>Start</vt:lpstr>
      <vt:lpstr>Structural Parameters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phiPV_p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2026-07-17T15:11:47Z</dcterms:modified>
</cp:coreProperties>
</file>